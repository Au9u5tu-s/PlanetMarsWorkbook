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Partition 3\All Files\(Documents-Data)\Project Documents\"/>
    </mc:Choice>
  </mc:AlternateContent>
  <xr:revisionPtr revIDLastSave="0" documentId="13_ncr:1_{6502C3A7-A80B-4F3A-A376-B6164ADCAAF4}" xr6:coauthVersionLast="47" xr6:coauthVersionMax="47" xr10:uidLastSave="{00000000-0000-0000-0000-000000000000}"/>
  <bookViews>
    <workbookView xWindow="-108" yWindow="-108" windowWidth="23256" windowHeight="12456" firstSheet="18" activeTab="23" xr2:uid="{00000000-000D-0000-FFFF-FFFF00000000}"/>
  </bookViews>
  <sheets>
    <sheet name="April" sheetId="1" r:id="rId1"/>
    <sheet name="May" sheetId="2" r:id="rId2"/>
    <sheet name="June" sheetId="3" r:id="rId3"/>
    <sheet name="July" sheetId="4" r:id="rId4"/>
    <sheet name="August" sheetId="5" r:id="rId5"/>
    <sheet name="September" sheetId="20" r:id="rId6"/>
    <sheet name="October" sheetId="21" r:id="rId7"/>
    <sheet name="November" sheetId="22" r:id="rId8"/>
    <sheet name="December" sheetId="23" r:id="rId9"/>
    <sheet name="January" sheetId="24" r:id="rId10"/>
    <sheet name="February" sheetId="25" r:id="rId11"/>
    <sheet name="March" sheetId="26" r:id="rId12"/>
    <sheet name="Test 21" sheetId="6" r:id="rId13"/>
    <sheet name="Sheet1" sheetId="8" state="hidden" r:id="rId14"/>
    <sheet name="PettyCash" sheetId="9" r:id="rId15"/>
    <sheet name="Donation" sheetId="10" r:id="rId16"/>
    <sheet name="Corporation" sheetId="12" r:id="rId17"/>
    <sheet name="ICICI" sheetId="13" r:id="rId18"/>
    <sheet name="Consolidated" sheetId="14" r:id="rId19"/>
    <sheet name="FinalConsolidation" sheetId="18" r:id="rId20"/>
    <sheet name="OP&amp;CL" sheetId="28" r:id="rId21"/>
    <sheet name="Main" sheetId="11" r:id="rId22"/>
    <sheet name="R &amp; P" sheetId="19" r:id="rId23"/>
    <sheet name="P &amp; L" sheetId="27" r:id="rId24"/>
    <sheet name="BS" sheetId="29" r:id="rId25"/>
  </sheets>
  <definedNames>
    <definedName name="_xlnm._FilterDatabase" localSheetId="0" hidden="1">'OP&amp;CL'!#REF!</definedName>
  </definedNames>
  <calcPr calcId="191029"/>
  <pivotCaches>
    <pivotCache cacheId="10" r:id="rId26"/>
    <pivotCache cacheId="15" r:id="rId27"/>
    <pivotCache cacheId="20" r:id="rId28"/>
    <pivotCache cacheId="25" r:id="rId29"/>
    <pivotCache cacheId="40" r:id="rId30"/>
    <pivotCache cacheId="45" r:id="rId3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27" l="1"/>
  <c r="I14" i="27"/>
  <c r="I8" i="27"/>
  <c r="Q9" i="28"/>
  <c r="Q8" i="28"/>
  <c r="Q5" i="28"/>
  <c r="Q6" i="28" s="1"/>
  <c r="H61" i="28"/>
  <c r="H42" i="28"/>
  <c r="H43" i="28" s="1"/>
  <c r="H44" i="28" s="1"/>
  <c r="H45" i="28" s="1"/>
  <c r="H46" i="28" s="1"/>
  <c r="H47" i="28" s="1"/>
  <c r="H48" i="28" s="1"/>
  <c r="H49" i="28" s="1"/>
  <c r="H50" i="28" s="1"/>
  <c r="H51" i="28" s="1"/>
  <c r="H52" i="28" s="1"/>
  <c r="H53" i="28" s="1"/>
  <c r="H54" i="28" s="1"/>
  <c r="H55" i="28" s="1"/>
  <c r="H56" i="28" s="1"/>
  <c r="H57" i="28" s="1"/>
  <c r="H58" i="28" s="1"/>
  <c r="H59" i="28" s="1"/>
  <c r="H60" i="28" s="1"/>
  <c r="H4" i="28"/>
  <c r="H5" i="28" s="1"/>
  <c r="H6" i="28" s="1"/>
  <c r="H7" i="28" s="1"/>
  <c r="H8" i="28" s="1"/>
  <c r="H9" i="28" s="1"/>
  <c r="H10" i="28" s="1"/>
  <c r="H11" i="28" s="1"/>
  <c r="H12" i="28" s="1"/>
  <c r="H13" i="28" s="1"/>
  <c r="H14" i="28" s="1"/>
  <c r="H15" i="28" s="1"/>
  <c r="H16" i="28" s="1"/>
  <c r="H17" i="28" s="1"/>
  <c r="H18" i="28" s="1"/>
  <c r="H19" i="28" s="1"/>
  <c r="H20" i="28" s="1"/>
  <c r="H21" i="28" s="1"/>
  <c r="H22" i="28" s="1"/>
  <c r="H23" i="28" s="1"/>
  <c r="H24" i="28" s="1"/>
  <c r="H25" i="28" s="1"/>
  <c r="H26" i="28" s="1"/>
  <c r="H27" i="28" s="1"/>
  <c r="H28" i="28" s="1"/>
  <c r="H29" i="28" s="1"/>
  <c r="H30" i="28" s="1"/>
  <c r="H31" i="28" s="1"/>
  <c r="H32" i="28" s="1"/>
  <c r="H33" i="28" s="1"/>
  <c r="H34" i="28" s="1"/>
  <c r="H35" i="28" s="1"/>
  <c r="H36" i="28" s="1"/>
  <c r="H37" i="28" s="1"/>
  <c r="H38" i="28" s="1"/>
  <c r="H39" i="28" s="1"/>
  <c r="H40" i="28" s="1"/>
  <c r="H41" i="28" s="1"/>
  <c r="E27" i="27"/>
  <c r="C26" i="27"/>
  <c r="E26" i="27" s="1"/>
  <c r="D26" i="19" l="1"/>
  <c r="G26" i="19"/>
  <c r="D8" i="19"/>
  <c r="H4" i="13"/>
  <c r="H5" i="13" s="1"/>
  <c r="H6" i="13" s="1"/>
  <c r="H7" i="13" s="1"/>
  <c r="H8" i="13" s="1"/>
  <c r="H9" i="13" s="1"/>
  <c r="H10" i="13" s="1"/>
  <c r="H11" i="13" s="1"/>
  <c r="H4" i="12"/>
  <c r="H5" i="12"/>
  <c r="H6" i="12" s="1"/>
  <c r="H7" i="12" s="1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H31" i="12" s="1"/>
  <c r="H32" i="12" s="1"/>
  <c r="H33" i="12" s="1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H54" i="12" s="1"/>
  <c r="H55" i="12" s="1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I2" i="10"/>
  <c r="H4" i="9"/>
  <c r="H5" i="9" s="1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G4" i="26"/>
  <c r="G5" i="26" s="1"/>
  <c r="I39" i="1" l="1"/>
  <c r="G4" i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Q4" i="26"/>
  <c r="Q5" i="26" s="1"/>
  <c r="G4" i="5" l="1"/>
  <c r="G5" i="5" s="1"/>
  <c r="G6" i="5" s="1"/>
  <c r="G7" i="5" s="1"/>
  <c r="G8" i="5" s="1"/>
  <c r="G9" i="5" s="1"/>
  <c r="G10" i="5" s="1"/>
  <c r="G11" i="5" s="1"/>
  <c r="G12" i="5" s="1"/>
  <c r="G13" i="5" s="1"/>
  <c r="G14" i="5" s="1"/>
  <c r="G3" i="20" s="1"/>
  <c r="G4" i="20" s="1"/>
  <c r="AC4" i="1"/>
  <c r="AC5" i="1"/>
  <c r="AC6" i="1" s="1"/>
  <c r="S21" i="1"/>
  <c r="I40" i="1"/>
  <c r="S20" i="1"/>
  <c r="S19" i="1"/>
  <c r="V7" i="6"/>
  <c r="W6" i="6"/>
  <c r="O5" i="6"/>
  <c r="O6" i="6" s="1"/>
  <c r="O7" i="6" s="1"/>
  <c r="O8" i="6" s="1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G6" i="6"/>
  <c r="G7" i="6" s="1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5" i="6"/>
  <c r="AA4" i="5"/>
  <c r="AA3" i="20" s="1"/>
  <c r="AA4" i="20" s="1"/>
  <c r="Q4" i="5"/>
  <c r="Q5" i="5" s="1"/>
  <c r="Q6" i="5" s="1"/>
  <c r="Q7" i="5" s="1"/>
  <c r="Q8" i="5" s="1"/>
  <c r="Q9" i="5" s="1"/>
  <c r="Q10" i="5" s="1"/>
  <c r="Q11" i="5" s="1"/>
  <c r="Q12" i="5" s="1"/>
  <c r="Q13" i="5" s="1"/>
  <c r="Q14" i="5" s="1"/>
  <c r="Q3" i="20" s="1"/>
  <c r="Q4" i="20" s="1"/>
  <c r="AA4" i="4"/>
  <c r="Q4" i="4"/>
  <c r="Q5" i="4" s="1"/>
  <c r="Q6" i="4" s="1"/>
  <c r="Q7" i="4" s="1"/>
  <c r="Q8" i="4" s="1"/>
  <c r="Q9" i="4" s="1"/>
  <c r="Q10" i="4" s="1"/>
  <c r="Q11" i="4" s="1"/>
  <c r="Q12" i="4" s="1"/>
  <c r="Q13" i="4" s="1"/>
  <c r="Q14" i="4" s="1"/>
  <c r="G4" i="4"/>
  <c r="G5" i="4" s="1"/>
  <c r="G6" i="4" s="1"/>
  <c r="G7" i="4" s="1"/>
  <c r="G8" i="4" s="1"/>
  <c r="G9" i="4" s="1"/>
  <c r="G10" i="4" s="1"/>
  <c r="G11" i="4" s="1"/>
  <c r="AA5" i="3"/>
  <c r="AA6" i="3" s="1"/>
  <c r="AA4" i="3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G4" i="3"/>
  <c r="G5" i="3" s="1"/>
  <c r="G6" i="3" s="1"/>
  <c r="G5" i="2"/>
  <c r="G6" i="2" s="1"/>
  <c r="G7" i="2" s="1"/>
  <c r="G8" i="2" s="1"/>
  <c r="G9" i="2" s="1"/>
  <c r="G10" i="2" s="1"/>
  <c r="G11" i="2" s="1"/>
  <c r="G12" i="2" s="1"/>
  <c r="G4" i="2"/>
  <c r="Q4" i="2"/>
  <c r="Q5" i="2" s="1"/>
  <c r="Q6" i="2" s="1"/>
  <c r="Q7" i="2" s="1"/>
  <c r="Q8" i="2" s="1"/>
  <c r="Q9" i="2" s="1"/>
  <c r="Q10" i="2" s="1"/>
  <c r="Q11" i="2" s="1"/>
  <c r="Q12" i="2" s="1"/>
  <c r="Q13" i="2" s="1"/>
  <c r="Q14" i="2" s="1"/>
  <c r="Q15" i="2" s="1"/>
  <c r="Q16" i="2" s="1"/>
  <c r="AA4" i="2"/>
  <c r="AA4" i="1"/>
  <c r="Q4" i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I41" i="1" l="1"/>
</calcChain>
</file>

<file path=xl/sharedStrings.xml><?xml version="1.0" encoding="utf-8"?>
<sst xmlns="http://schemas.openxmlformats.org/spreadsheetml/2006/main" count="1999" uniqueCount="414">
  <si>
    <t>Sl.no</t>
  </si>
  <si>
    <t>Date</t>
  </si>
  <si>
    <t>Details</t>
  </si>
  <si>
    <t>Expenses</t>
  </si>
  <si>
    <t>Receipt</t>
  </si>
  <si>
    <t>Balance</t>
  </si>
  <si>
    <t>PLANET MARS PETTY CASH TRANSACTION -APRIL 2021</t>
  </si>
  <si>
    <t>BANK TRANSACTION -APRIL 2021</t>
  </si>
  <si>
    <t>Opening Balance</t>
  </si>
  <si>
    <t>Donation</t>
  </si>
  <si>
    <t>Jayalaxmi Silks</t>
  </si>
  <si>
    <t>Bank charges</t>
  </si>
  <si>
    <t>Cheque Issue</t>
  </si>
  <si>
    <t>Utilities</t>
  </si>
  <si>
    <t>Paper Bill</t>
  </si>
  <si>
    <t>Grocery</t>
  </si>
  <si>
    <t>Vegetables</t>
  </si>
  <si>
    <t>Withdrawal From Bank</t>
  </si>
  <si>
    <t>Petty Cash</t>
  </si>
  <si>
    <t>Milk</t>
  </si>
  <si>
    <t>Stationery</t>
  </si>
  <si>
    <t>A4 Sheet</t>
  </si>
  <si>
    <t>Gas Filling</t>
  </si>
  <si>
    <t>Travelling</t>
  </si>
  <si>
    <t>Auto</t>
  </si>
  <si>
    <t>Arathi Bus Fare</t>
  </si>
  <si>
    <t>Photocopy</t>
  </si>
  <si>
    <t>Amritha</t>
  </si>
  <si>
    <t>photocopy</t>
  </si>
  <si>
    <t>Letterhead an envelop</t>
  </si>
  <si>
    <t>Fish</t>
  </si>
  <si>
    <t>vegetables</t>
  </si>
  <si>
    <t>Legal Fees</t>
  </si>
  <si>
    <t>panchayat License</t>
  </si>
  <si>
    <t>Medical Expenses</t>
  </si>
  <si>
    <t>Tablets</t>
  </si>
  <si>
    <t>14/4/2021</t>
  </si>
  <si>
    <t>Electricity</t>
  </si>
  <si>
    <t>15/04/2021</t>
  </si>
  <si>
    <t>Fire Extinguisher</t>
  </si>
  <si>
    <t>Toll Exp</t>
  </si>
  <si>
    <t>Food Breakfast</t>
  </si>
  <si>
    <t>Food Lunch</t>
  </si>
  <si>
    <t>Petrol</t>
  </si>
  <si>
    <t>16/04/2021</t>
  </si>
  <si>
    <t>19/04/2021</t>
  </si>
  <si>
    <t>20/04/2021</t>
  </si>
  <si>
    <t>Postage</t>
  </si>
  <si>
    <t>PWD Letter</t>
  </si>
  <si>
    <t>22/04/2021</t>
  </si>
  <si>
    <t>Internet</t>
  </si>
  <si>
    <t>26/04/2021</t>
  </si>
  <si>
    <t>27/04/2021</t>
  </si>
  <si>
    <t>Id Card Lamination</t>
  </si>
  <si>
    <t>30/04/2021</t>
  </si>
  <si>
    <t>Dish Recharge</t>
  </si>
  <si>
    <t>Road Sketch</t>
  </si>
  <si>
    <t>Drawings</t>
  </si>
  <si>
    <t>Ration</t>
  </si>
  <si>
    <t>Prasad Kumar</t>
  </si>
  <si>
    <t>Salary</t>
  </si>
  <si>
    <t>Lalitha</t>
  </si>
  <si>
    <t>Vinoda</t>
  </si>
  <si>
    <t>15/4/2021</t>
  </si>
  <si>
    <t>Anuroop Reddy</t>
  </si>
  <si>
    <t>Naveen Raj</t>
  </si>
  <si>
    <t>16/4/2021</t>
  </si>
  <si>
    <t>Namrutha Raj Suvarna</t>
  </si>
  <si>
    <t>Geetha</t>
  </si>
  <si>
    <t>Rent</t>
  </si>
  <si>
    <t>Harish Kumar</t>
  </si>
  <si>
    <t>Crystal Melissa Mendonca</t>
  </si>
  <si>
    <t>20/4/2021</t>
  </si>
  <si>
    <t>Joel Dsilva</t>
  </si>
  <si>
    <t>21/4/2021</t>
  </si>
  <si>
    <t>26/4/2021</t>
  </si>
  <si>
    <t>Sithara Nishanth</t>
  </si>
  <si>
    <t>Exotic floor shop</t>
  </si>
  <si>
    <t>27/4/2021</t>
  </si>
  <si>
    <t>Padmanabha Shenoy</t>
  </si>
  <si>
    <t>Dobin Fernandes</t>
  </si>
  <si>
    <t>PLANET MARS PETTY CASH TRANSACTION - May 2021</t>
  </si>
  <si>
    <t>BANK TRANSACTION -May 2021</t>
  </si>
  <si>
    <t>instamojo</t>
  </si>
  <si>
    <t>Henry Dsilva</t>
  </si>
  <si>
    <t>Harish umar</t>
  </si>
  <si>
    <t>Advertisement</t>
  </si>
  <si>
    <t>Erachana technologies</t>
  </si>
  <si>
    <t>Hotte thumba</t>
  </si>
  <si>
    <t xml:space="preserve">Crystal </t>
  </si>
  <si>
    <t>Sameer Baikadi</t>
  </si>
  <si>
    <t>Jayalaxmi sils</t>
  </si>
  <si>
    <t>Namrutha</t>
  </si>
  <si>
    <t>Repairs</t>
  </si>
  <si>
    <t>pump of well</t>
  </si>
  <si>
    <t>Electriciy bill</t>
  </si>
  <si>
    <t>PLANET MARS PETTY CASH TRANSACTION - June 2021</t>
  </si>
  <si>
    <t>BANK TRANSACTION -June 2021</t>
  </si>
  <si>
    <t>Electricity Bill</t>
  </si>
  <si>
    <t>Bank Charges</t>
  </si>
  <si>
    <t>Insurance</t>
  </si>
  <si>
    <t>Anusha</t>
  </si>
  <si>
    <t>Crystal</t>
  </si>
  <si>
    <t>Charges for pord</t>
  </si>
  <si>
    <t>Star Health And Allied Insurance</t>
  </si>
  <si>
    <t>Sms charges</t>
  </si>
  <si>
    <t>Internet Charges</t>
  </si>
  <si>
    <t>Gautham Srinivas</t>
  </si>
  <si>
    <t>Benita Sequeira</t>
  </si>
  <si>
    <t>PLANET MARS PETTY CASH TRANSACTION - July 2021</t>
  </si>
  <si>
    <t>BANK TRANSACTION -July 2021</t>
  </si>
  <si>
    <t xml:space="preserve">Opening Balance </t>
  </si>
  <si>
    <t xml:space="preserve">Aarathi </t>
  </si>
  <si>
    <t>Sujatha</t>
  </si>
  <si>
    <t>For Food from school</t>
  </si>
  <si>
    <t>Auto Charge</t>
  </si>
  <si>
    <t>Gas filling</t>
  </si>
  <si>
    <t>Nishal</t>
  </si>
  <si>
    <t>harish kumar</t>
  </si>
  <si>
    <t>Jayalaxmi</t>
  </si>
  <si>
    <t>Joscline</t>
  </si>
  <si>
    <t>Instamojo</t>
  </si>
  <si>
    <t>PLANET MARS PETTY CASH TRANSACTION - August 2021</t>
  </si>
  <si>
    <t>BANK TRANSACTION -August 2021</t>
  </si>
  <si>
    <t>lalitha</t>
  </si>
  <si>
    <t>Arun</t>
  </si>
  <si>
    <t>School Fees</t>
  </si>
  <si>
    <t>Milagres PU College</t>
  </si>
  <si>
    <t>Benita</t>
  </si>
  <si>
    <t>College Fees</t>
  </si>
  <si>
    <t>Application Form</t>
  </si>
  <si>
    <t>TC Charges</t>
  </si>
  <si>
    <t>Uniform</t>
  </si>
  <si>
    <t>Note Books</t>
  </si>
  <si>
    <t>Intenet Charges</t>
  </si>
  <si>
    <t>Manamma Admission</t>
  </si>
  <si>
    <t>Text Book</t>
  </si>
  <si>
    <t>Category</t>
  </si>
  <si>
    <t>Test21-A1</t>
  </si>
  <si>
    <t>Test21-A2</t>
  </si>
  <si>
    <t>Test21-A3</t>
  </si>
  <si>
    <t>Test21-A4</t>
  </si>
  <si>
    <t>Test21-A5</t>
  </si>
  <si>
    <t>Test21-A6</t>
  </si>
  <si>
    <t>Test21-A7</t>
  </si>
  <si>
    <t>Test21-A8</t>
  </si>
  <si>
    <t>Test21-A9</t>
  </si>
  <si>
    <t>Test21-A10</t>
  </si>
  <si>
    <t>Test21-A11</t>
  </si>
  <si>
    <t>Test21-A12</t>
  </si>
  <si>
    <t>Test21-A13</t>
  </si>
  <si>
    <t>Test21-A14</t>
  </si>
  <si>
    <t>Test21-A15</t>
  </si>
  <si>
    <t>Test21-A16</t>
  </si>
  <si>
    <t>Test21-A17</t>
  </si>
  <si>
    <t>Test21-A18</t>
  </si>
  <si>
    <t>Test21-A19</t>
  </si>
  <si>
    <t>Test21-A20</t>
  </si>
  <si>
    <t>Test21-A21</t>
  </si>
  <si>
    <t>Test21-A22</t>
  </si>
  <si>
    <t>Test21-A23</t>
  </si>
  <si>
    <t>Test21-A24</t>
  </si>
  <si>
    <t>Test21-A25</t>
  </si>
  <si>
    <t>Test21-A26</t>
  </si>
  <si>
    <t>Test21-A27</t>
  </si>
  <si>
    <t>Test21-A28</t>
  </si>
  <si>
    <t>Test21-A29</t>
  </si>
  <si>
    <t>Test21-A30</t>
  </si>
  <si>
    <t>Test21-A31</t>
  </si>
  <si>
    <t>Test21-A32</t>
  </si>
  <si>
    <t>Test21-A33</t>
  </si>
  <si>
    <t>Test21-A34</t>
  </si>
  <si>
    <t>Test21-A35</t>
  </si>
  <si>
    <t>Test21-A36</t>
  </si>
  <si>
    <t>Test21-A37</t>
  </si>
  <si>
    <t>Test21-A38</t>
  </si>
  <si>
    <t>Test21-B1</t>
  </si>
  <si>
    <t>Test21-B2</t>
  </si>
  <si>
    <t>Test21-B3</t>
  </si>
  <si>
    <t>Test21-B4</t>
  </si>
  <si>
    <t>Test21-B5</t>
  </si>
  <si>
    <t>Test21-B6</t>
  </si>
  <si>
    <t>Test21-B7</t>
  </si>
  <si>
    <t>Test21-B8</t>
  </si>
  <si>
    <t>Test21-B9</t>
  </si>
  <si>
    <t>Test21-B10</t>
  </si>
  <si>
    <t>Test21-B11</t>
  </si>
  <si>
    <t>Test21-B12</t>
  </si>
  <si>
    <t>Test21-B13</t>
  </si>
  <si>
    <t>Test21-B14</t>
  </si>
  <si>
    <t>Test21-B15</t>
  </si>
  <si>
    <t>Test21-B16</t>
  </si>
  <si>
    <t>Test21-B17</t>
  </si>
  <si>
    <t>Test21-B18</t>
  </si>
  <si>
    <t>Test21-B19</t>
  </si>
  <si>
    <t>April-A1</t>
  </si>
  <si>
    <t>April-A2</t>
  </si>
  <si>
    <t>April-A3</t>
  </si>
  <si>
    <t>April-A4</t>
  </si>
  <si>
    <t>April-A5</t>
  </si>
  <si>
    <t>April-A6</t>
  </si>
  <si>
    <t>April-A7</t>
  </si>
  <si>
    <t>April-A8</t>
  </si>
  <si>
    <t>April-A9</t>
  </si>
  <si>
    <t>April-A10</t>
  </si>
  <si>
    <t>April-A11</t>
  </si>
  <si>
    <t>April-A12</t>
  </si>
  <si>
    <t>April-A13</t>
  </si>
  <si>
    <t>April-A14</t>
  </si>
  <si>
    <t>April-A15</t>
  </si>
  <si>
    <t>April-A16</t>
  </si>
  <si>
    <t>April-A17</t>
  </si>
  <si>
    <t>April-A18</t>
  </si>
  <si>
    <t>April-A19</t>
  </si>
  <si>
    <t>April-A20</t>
  </si>
  <si>
    <t>April-A21</t>
  </si>
  <si>
    <t>April-A22</t>
  </si>
  <si>
    <t>April-A23</t>
  </si>
  <si>
    <t>April-A24</t>
  </si>
  <si>
    <t>April-A25</t>
  </si>
  <si>
    <t>April-A26</t>
  </si>
  <si>
    <t>April-A27</t>
  </si>
  <si>
    <t>April-A28</t>
  </si>
  <si>
    <t>April-A29</t>
  </si>
  <si>
    <t>April-A30</t>
  </si>
  <si>
    <t>April-A31</t>
  </si>
  <si>
    <t>April-A32</t>
  </si>
  <si>
    <t>April-A33</t>
  </si>
  <si>
    <t>April-A34</t>
  </si>
  <si>
    <t>April-A35</t>
  </si>
  <si>
    <t>April-A36</t>
  </si>
  <si>
    <t>April-A37</t>
  </si>
  <si>
    <t>April-A38</t>
  </si>
  <si>
    <t>April-B1</t>
  </si>
  <si>
    <t>April-B2</t>
  </si>
  <si>
    <t>April-B3</t>
  </si>
  <si>
    <t>April-B4</t>
  </si>
  <si>
    <t>April-B5</t>
  </si>
  <si>
    <t>April-B6</t>
  </si>
  <si>
    <t>April-B7</t>
  </si>
  <si>
    <t>April-B8</t>
  </si>
  <si>
    <t>April-B9</t>
  </si>
  <si>
    <t>April-B10</t>
  </si>
  <si>
    <t>April-B11</t>
  </si>
  <si>
    <t>April-B12</t>
  </si>
  <si>
    <t>April-B13</t>
  </si>
  <si>
    <t>April-B14</t>
  </si>
  <si>
    <t>April-B15</t>
  </si>
  <si>
    <t>April-B16</t>
  </si>
  <si>
    <t>April-B17</t>
  </si>
  <si>
    <t>April-B18</t>
  </si>
  <si>
    <t>April-B19</t>
  </si>
  <si>
    <t>April-C1</t>
  </si>
  <si>
    <t>May-A1</t>
  </si>
  <si>
    <t>May-A2</t>
  </si>
  <si>
    <t>May-A3</t>
  </si>
  <si>
    <t>May-A4</t>
  </si>
  <si>
    <t>May-A5</t>
  </si>
  <si>
    <t>May-A6</t>
  </si>
  <si>
    <t>May-A7</t>
  </si>
  <si>
    <t>May-A8</t>
  </si>
  <si>
    <t>May-A9</t>
  </si>
  <si>
    <t>May-B1</t>
  </si>
  <si>
    <t>May-B2</t>
  </si>
  <si>
    <t>May-B3</t>
  </si>
  <si>
    <t>May-B4</t>
  </si>
  <si>
    <t>May-B5</t>
  </si>
  <si>
    <t>May-B6</t>
  </si>
  <si>
    <t>May-B7</t>
  </si>
  <si>
    <t>May-B8</t>
  </si>
  <si>
    <t>May-B9</t>
  </si>
  <si>
    <t>May-B10</t>
  </si>
  <si>
    <t>May-B11</t>
  </si>
  <si>
    <t>May-B12</t>
  </si>
  <si>
    <t>May-B13</t>
  </si>
  <si>
    <t>May-C1</t>
  </si>
  <si>
    <t>Anupama-Shanta Raghuram Shetty</t>
  </si>
  <si>
    <t>June-A1</t>
  </si>
  <si>
    <t>June-A2</t>
  </si>
  <si>
    <t>June-A3</t>
  </si>
  <si>
    <t>June-B1</t>
  </si>
  <si>
    <t>June-B2</t>
  </si>
  <si>
    <t>June-B3</t>
  </si>
  <si>
    <t>June-B4</t>
  </si>
  <si>
    <t>June-B5</t>
  </si>
  <si>
    <t>June-B6</t>
  </si>
  <si>
    <t>June-B7</t>
  </si>
  <si>
    <t>June-B8</t>
  </si>
  <si>
    <t>June-B9</t>
  </si>
  <si>
    <t>June-B10</t>
  </si>
  <si>
    <t>June-B11</t>
  </si>
  <si>
    <t>June-C1</t>
  </si>
  <si>
    <t>June-C2</t>
  </si>
  <si>
    <t>June-C3</t>
  </si>
  <si>
    <t>July-A1</t>
  </si>
  <si>
    <t>July-A2</t>
  </si>
  <si>
    <t>July-A3</t>
  </si>
  <si>
    <t>July-A4</t>
  </si>
  <si>
    <t>July-A5</t>
  </si>
  <si>
    <t>July-A6</t>
  </si>
  <si>
    <t>July-A7</t>
  </si>
  <si>
    <t>July-A8</t>
  </si>
  <si>
    <t>July-B1</t>
  </si>
  <si>
    <t>July-B2</t>
  </si>
  <si>
    <t>July-B3</t>
  </si>
  <si>
    <t>July-B4</t>
  </si>
  <si>
    <t>July-B5</t>
  </si>
  <si>
    <t>July-B6</t>
  </si>
  <si>
    <t>July-B7</t>
  </si>
  <si>
    <t>July-B8</t>
  </si>
  <si>
    <t>July-B9</t>
  </si>
  <si>
    <t>July-B10</t>
  </si>
  <si>
    <t>July-B11</t>
  </si>
  <si>
    <t>July-C1</t>
  </si>
  <si>
    <t>August-A1</t>
  </si>
  <si>
    <t>August-A2</t>
  </si>
  <si>
    <t>August-A3</t>
  </si>
  <si>
    <t>August-A4</t>
  </si>
  <si>
    <t>August-A5</t>
  </si>
  <si>
    <t>August-A6</t>
  </si>
  <si>
    <t>August-A7</t>
  </si>
  <si>
    <t>August-A8</t>
  </si>
  <si>
    <t>August-A9</t>
  </si>
  <si>
    <t>August-A10</t>
  </si>
  <si>
    <t>August-A11</t>
  </si>
  <si>
    <t>August-B2</t>
  </si>
  <si>
    <t>August-B1</t>
  </si>
  <si>
    <t>August-B3</t>
  </si>
  <si>
    <t>August-B4</t>
  </si>
  <si>
    <t>August-B5</t>
  </si>
  <si>
    <t>August-B6</t>
  </si>
  <si>
    <t>August-B7</t>
  </si>
  <si>
    <t>August-B8</t>
  </si>
  <si>
    <t>August-B9</t>
  </si>
  <si>
    <t>August-B10</t>
  </si>
  <si>
    <t>August-B11</t>
  </si>
  <si>
    <t>August-C1</t>
  </si>
  <si>
    <t>April-A0</t>
  </si>
  <si>
    <t>April-B0</t>
  </si>
  <si>
    <t>April-C0</t>
  </si>
  <si>
    <t>May-A0</t>
  </si>
  <si>
    <t>May-B0</t>
  </si>
  <si>
    <t>May-C0</t>
  </si>
  <si>
    <t>June-A0</t>
  </si>
  <si>
    <t>June-B0</t>
  </si>
  <si>
    <t>June-C0</t>
  </si>
  <si>
    <t>July-A0</t>
  </si>
  <si>
    <t>July-B0</t>
  </si>
  <si>
    <t>July-C0</t>
  </si>
  <si>
    <t>August-A0</t>
  </si>
  <si>
    <t>August-B0</t>
  </si>
  <si>
    <t>August-C0</t>
  </si>
  <si>
    <t>Row Labels</t>
  </si>
  <si>
    <t>Grand Total</t>
  </si>
  <si>
    <t>(blank)</t>
  </si>
  <si>
    <t>Sum of Expenses</t>
  </si>
  <si>
    <t>Description</t>
  </si>
  <si>
    <t>Amount</t>
  </si>
  <si>
    <t>Sum of Amount</t>
  </si>
  <si>
    <t>PLANET MARS FOUNDATION</t>
  </si>
  <si>
    <t>Registration No. S/66/2016-17</t>
  </si>
  <si>
    <t>RECEIPTS</t>
  </si>
  <si>
    <t>Rs.</t>
  </si>
  <si>
    <t>PAYMENTS</t>
  </si>
  <si>
    <t>To Opening Balance</t>
  </si>
  <si>
    <t>RECEIPTS &amp; PAYMENTS ACCOUNT</t>
  </si>
  <si>
    <t>Cash in Hand</t>
  </si>
  <si>
    <t>Cash in Corporation bank</t>
  </si>
  <si>
    <t>Cash in ICICI Bank</t>
  </si>
  <si>
    <t>To Donation received</t>
  </si>
  <si>
    <t>To Closing Balance</t>
  </si>
  <si>
    <t>INCOME &amp; EXPENDITURES ACCOUNT</t>
  </si>
  <si>
    <t>Donation received</t>
  </si>
  <si>
    <t>Excess Of Expenditure over Income</t>
  </si>
  <si>
    <t>Depreciation</t>
  </si>
  <si>
    <t>Salaries</t>
  </si>
  <si>
    <t>Opening Accrual (-)</t>
  </si>
  <si>
    <t>Paid During the year</t>
  </si>
  <si>
    <t>Closing Accrual</t>
  </si>
  <si>
    <t>Total Salary Expense</t>
  </si>
  <si>
    <t>Total Rent Expense</t>
  </si>
  <si>
    <t>Total Utilities Expense</t>
  </si>
  <si>
    <t>September-A0</t>
  </si>
  <si>
    <t>September-B0</t>
  </si>
  <si>
    <t>September-C0</t>
  </si>
  <si>
    <t>October-A0</t>
  </si>
  <si>
    <t>October-B0</t>
  </si>
  <si>
    <t>October-C0</t>
  </si>
  <si>
    <t>November-A0</t>
  </si>
  <si>
    <t>November-B0</t>
  </si>
  <si>
    <t>November-C0</t>
  </si>
  <si>
    <t>December-A0</t>
  </si>
  <si>
    <t>December-B0</t>
  </si>
  <si>
    <t>December-C0</t>
  </si>
  <si>
    <t>January-A0</t>
  </si>
  <si>
    <t>January-B0</t>
  </si>
  <si>
    <t>January-C0</t>
  </si>
  <si>
    <t>February-A0</t>
  </si>
  <si>
    <t>February-B0</t>
  </si>
  <si>
    <t>February-C0</t>
  </si>
  <si>
    <t>March-A0</t>
  </si>
  <si>
    <t>March-B0</t>
  </si>
  <si>
    <t>March-C0</t>
  </si>
  <si>
    <t>September-A1</t>
  </si>
  <si>
    <t>September-B1</t>
  </si>
  <si>
    <t>September-C1</t>
  </si>
  <si>
    <t>March-B1</t>
  </si>
  <si>
    <t>March-B2</t>
  </si>
  <si>
    <t>.</t>
  </si>
  <si>
    <t>March-A1</t>
  </si>
  <si>
    <t>March-A2</t>
  </si>
  <si>
    <t>BALANCE SHEET</t>
  </si>
  <si>
    <t>Liabilities</t>
  </si>
  <si>
    <t>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</si>
</sst>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rgb="FF000000"/>
      <name val="Agency FB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indexed="53"/>
      <name val="Agency FB"/>
      <family val="2"/>
    </font>
    <font>
      <b/>
      <sz val="16"/>
      <color indexed="53"/>
      <name val="Agency FB"/>
      <family val="2"/>
    </font>
    <font>
      <sz val="11"/>
      <color rgb="FF9C000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4">
    <xf numFmtId="0" fontId="0" fillId="0" borderId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5" fillId="8" borderId="0" applyNumberFormat="0" applyBorder="0" applyAlignment="0" applyProtection="0"/>
    <xf numFmtId="0" fontId="3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10" applyNumberFormat="0" applyAlignment="0" applyProtection="0"/>
    <xf numFmtId="0" fontId="8" fillId="12" borderId="11" applyNumberFormat="0" applyAlignment="0" applyProtection="0"/>
    <xf numFmtId="0" fontId="1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3" fillId="16" borderId="0" applyNumberFormat="0" applyBorder="0" applyAlignment="0" applyProtection="0"/>
  </cellStyleXfs>
  <cellXfs count="46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14" fontId="0" fillId="0" borderId="0" xfId="0" applyNumberFormat="1"/>
    <xf numFmtId="0" fontId="0" fillId="2" borderId="6" xfId="0" applyFill="1" applyBorder="1" applyAlignment="1">
      <alignment horizontal="right"/>
    </xf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14" fontId="0" fillId="3" borderId="0" xfId="0" applyNumberFormat="1" applyFill="1"/>
    <xf numFmtId="14" fontId="0" fillId="3" borderId="0" xfId="0" applyNumberFormat="1" applyFill="1" applyAlignment="1">
      <alignment horizontal="right"/>
    </xf>
    <xf numFmtId="14" fontId="0" fillId="0" borderId="0" xfId="0" applyNumberFormat="1" applyAlignment="1">
      <alignment horizontal="right"/>
    </xf>
    <xf numFmtId="14" fontId="0" fillId="2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" fillId="2" borderId="9" xfId="0" applyFont="1" applyFill="1" applyBorder="1" applyAlignment="1">
      <alignment vertical="center"/>
    </xf>
    <xf numFmtId="14" fontId="1" fillId="2" borderId="9" xfId="0" applyNumberFormat="1" applyFont="1" applyFill="1" applyBorder="1" applyAlignment="1">
      <alignment vertical="center"/>
    </xf>
    <xf numFmtId="3" fontId="1" fillId="2" borderId="9" xfId="0" applyNumberFormat="1" applyFont="1" applyFill="1" applyBorder="1" applyAlignment="1">
      <alignment vertical="center"/>
    </xf>
    <xf numFmtId="0" fontId="4" fillId="4" borderId="0" xfId="1"/>
    <xf numFmtId="0" fontId="5" fillId="5" borderId="0" xfId="2"/>
    <xf numFmtId="0" fontId="5" fillId="8" borderId="0" xfId="5"/>
    <xf numFmtId="0" fontId="3" fillId="7" borderId="0" xfId="4"/>
    <xf numFmtId="0" fontId="3" fillId="6" borderId="0" xfId="3"/>
    <xf numFmtId="0" fontId="3" fillId="9" borderId="0" xfId="6"/>
    <xf numFmtId="14" fontId="0" fillId="2" borderId="6" xfId="0" applyNumberFormat="1" applyFill="1" applyBorder="1"/>
    <xf numFmtId="0" fontId="8" fillId="12" borderId="11" xfId="9"/>
    <xf numFmtId="0" fontId="7" fillId="11" borderId="10" xfId="8"/>
    <xf numFmtId="0" fontId="0" fillId="0" borderId="0" xfId="0" pivotButton="1"/>
    <xf numFmtId="0" fontId="0" fillId="0" borderId="0" xfId="0" applyAlignment="1">
      <alignment horizontal="left"/>
    </xf>
    <xf numFmtId="0" fontId="6" fillId="10" borderId="0" xfId="7"/>
    <xf numFmtId="0" fontId="0" fillId="0" borderId="0" xfId="0" applyAlignment="1">
      <alignment horizontal="center"/>
    </xf>
    <xf numFmtId="0" fontId="11" fillId="13" borderId="0" xfId="10"/>
    <xf numFmtId="0" fontId="3" fillId="7" borderId="0" xfId="4" applyAlignment="1">
      <alignment horizontal="left"/>
    </xf>
    <xf numFmtId="0" fontId="5" fillId="14" borderId="0" xfId="11"/>
    <xf numFmtId="0" fontId="3" fillId="16" borderId="0" xfId="13" applyAlignment="1">
      <alignment horizontal="left"/>
    </xf>
    <xf numFmtId="0" fontId="3" fillId="16" borderId="0" xfId="13"/>
    <xf numFmtId="0" fontId="7" fillId="11" borderId="10" xfId="8" applyNumberFormat="1"/>
    <xf numFmtId="0" fontId="5" fillId="5" borderId="0" xfId="2" applyAlignment="1">
      <alignment horizontal="left"/>
    </xf>
    <xf numFmtId="0" fontId="5" fillId="15" borderId="0" xfId="12"/>
    <xf numFmtId="0" fontId="8" fillId="12" borderId="11" xfId="9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14">
    <cellStyle name="20% - Accent1" xfId="3" builtinId="30"/>
    <cellStyle name="20% - Accent5" xfId="6" builtinId="46"/>
    <cellStyle name="40% - Accent1" xfId="4" builtinId="31"/>
    <cellStyle name="40% - Accent4" xfId="13" builtinId="43"/>
    <cellStyle name="60% - Accent1" xfId="5" builtinId="32"/>
    <cellStyle name="Accent1" xfId="2" builtinId="29"/>
    <cellStyle name="Accent2" xfId="11" builtinId="33"/>
    <cellStyle name="Accent4" xfId="12" builtinId="41"/>
    <cellStyle name="Bad" xfId="10" builtinId="27"/>
    <cellStyle name="Calculation" xfId="8" builtinId="22"/>
    <cellStyle name="Check Cell" xfId="9" builtinId="23"/>
    <cellStyle name="Good" xfId="1" builtinId="26"/>
    <cellStyle name="Neutral" xfId="7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</xdr:row>
          <xdr:rowOff>22860</xdr:rowOff>
        </xdr:from>
        <xdr:to>
          <xdr:col>20</xdr:col>
          <xdr:colOff>129540</xdr:colOff>
          <xdr:row>22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6136EE3-61BD-192A-EF07-0C95EFC25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400" b="1" i="0" u="none" strike="noStrike" baseline="0">
                  <a:solidFill>
                    <a:srgbClr val="000000"/>
                  </a:solidFill>
                  <a:latin typeface="Agency FB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24</xdr:row>
          <xdr:rowOff>22860</xdr:rowOff>
        </xdr:from>
        <xdr:to>
          <xdr:col>20</xdr:col>
          <xdr:colOff>144780</xdr:colOff>
          <xdr:row>27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580BD6E-BF7F-6448-D935-29113C4D0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400" b="1" i="0" u="none" strike="noStrike" baseline="0">
                  <a:solidFill>
                    <a:srgbClr val="000000"/>
                  </a:solidFill>
                  <a:latin typeface="Agency FB"/>
                </a:rPr>
                <a:t>Donations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8</xdr:row>
      <xdr:rowOff>22860</xdr:rowOff>
    </xdr:from>
    <xdr:ext cx="2446020" cy="31149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219200" y="754380"/>
          <a:ext cx="244602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400" b="1"/>
            <a:t>Generate Petty Cash Records.</a:t>
          </a:r>
        </a:p>
      </xdr:txBody>
    </xdr:sp>
    <xdr:clientData/>
  </xdr:oneCellAnchor>
  <xdr:oneCellAnchor>
    <xdr:from>
      <xdr:col>3</xdr:col>
      <xdr:colOff>0</xdr:colOff>
      <xdr:row>15</xdr:row>
      <xdr:rowOff>22860</xdr:rowOff>
    </xdr:from>
    <xdr:ext cx="2446020" cy="53065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1219200" y="1851660"/>
          <a:ext cx="244602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400" b="1"/>
            <a:t>Generate Corporation Bank Records.</a:t>
          </a:r>
        </a:p>
      </xdr:txBody>
    </xdr:sp>
    <xdr:clientData/>
  </xdr:oneCellAnchor>
  <xdr:oneCellAnchor>
    <xdr:from>
      <xdr:col>12</xdr:col>
      <xdr:colOff>0</xdr:colOff>
      <xdr:row>15</xdr:row>
      <xdr:rowOff>106680</xdr:rowOff>
    </xdr:from>
    <xdr:ext cx="2446020" cy="31149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7315200" y="2849880"/>
          <a:ext cx="244602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400" b="1"/>
            <a:t>Generate ICICI Bank Records.</a:t>
          </a:r>
        </a:p>
      </xdr:txBody>
    </xdr:sp>
    <xdr:clientData/>
  </xdr:oneCellAnchor>
  <xdr:oneCellAnchor>
    <xdr:from>
      <xdr:col>12</xdr:col>
      <xdr:colOff>0</xdr:colOff>
      <xdr:row>8</xdr:row>
      <xdr:rowOff>22860</xdr:rowOff>
    </xdr:from>
    <xdr:ext cx="2446020" cy="3114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/>
      </xdr:nvSpPr>
      <xdr:spPr>
        <a:xfrm>
          <a:off x="1219200" y="754380"/>
          <a:ext cx="244602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400" b="1"/>
            <a:t>Generate Donations Records.</a:t>
          </a:r>
        </a:p>
      </xdr:txBody>
    </xdr:sp>
    <xdr:clientData/>
  </xdr:oneCellAnchor>
  <xdr:oneCellAnchor>
    <xdr:from>
      <xdr:col>3</xdr:col>
      <xdr:colOff>0</xdr:colOff>
      <xdr:row>23</xdr:row>
      <xdr:rowOff>99060</xdr:rowOff>
    </xdr:from>
    <xdr:ext cx="2446020" cy="31149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828800" y="4305300"/>
          <a:ext cx="244602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400" b="1"/>
            <a:t>Consolidated Records.</a:t>
          </a:r>
        </a:p>
      </xdr:txBody>
    </xdr:sp>
    <xdr:clientData/>
  </xdr:oneCellAnchor>
  <xdr:oneCellAnchor>
    <xdr:from>
      <xdr:col>3</xdr:col>
      <xdr:colOff>0</xdr:colOff>
      <xdr:row>31</xdr:row>
      <xdr:rowOff>30480</xdr:rowOff>
    </xdr:from>
    <xdr:ext cx="2446020" cy="53065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1828800" y="5699760"/>
          <a:ext cx="244602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400" b="1"/>
            <a:t>RECEIPTS &amp; PAYMENTS ACCOUNT</a:t>
          </a:r>
        </a:p>
      </xdr:txBody>
    </xdr:sp>
    <xdr:clientData/>
  </xdr:oneCellAnchor>
  <xdr:oneCellAnchor>
    <xdr:from>
      <xdr:col>12</xdr:col>
      <xdr:colOff>0</xdr:colOff>
      <xdr:row>31</xdr:row>
      <xdr:rowOff>30480</xdr:rowOff>
    </xdr:from>
    <xdr:ext cx="2446020" cy="530658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 txBox="1"/>
      </xdr:nvSpPr>
      <xdr:spPr>
        <a:xfrm>
          <a:off x="7315200" y="5699760"/>
          <a:ext cx="244602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400" b="1"/>
            <a:t>INCOME &amp; EXPENDITURES ACCOUNT</a:t>
          </a:r>
        </a:p>
      </xdr:txBody>
    </xdr:sp>
    <xdr:clientData/>
  </xdr:oneCellAnchor>
  <xdr:twoCellAnchor editAs="oneCell">
    <xdr:from>
      <xdr:col>7</xdr:col>
      <xdr:colOff>604025</xdr:colOff>
      <xdr:row>0</xdr:row>
      <xdr:rowOff>9293</xdr:rowOff>
    </xdr:from>
    <xdr:to>
      <xdr:col>13</xdr:col>
      <xdr:colOff>427464</xdr:colOff>
      <xdr:row>5</xdr:row>
      <xdr:rowOff>124847</xdr:rowOff>
    </xdr:to>
    <xdr:pic>
      <xdr:nvPicPr>
        <xdr:cNvPr id="2063" name="Picture 15" descr="https://pmf.ngo/images/foundation/home/logo.png">
          <a:extLst>
            <a:ext uri="{FF2B5EF4-FFF2-40B4-BE49-F238E27FC236}">
              <a16:creationId xmlns:a16="http://schemas.microsoft.com/office/drawing/2014/main" id="{00000000-0008-0000-15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897245" y="9293"/>
          <a:ext cx="3503341" cy="1044822"/>
        </a:xfrm>
        <a:prstGeom prst="rect">
          <a:avLst/>
        </a:prstGeom>
        <a:noFill/>
      </xdr:spPr>
    </xdr:pic>
    <xdr:clientData/>
  </xdr:twoCellAnchor>
  <xdr:oneCellAnchor>
    <xdr:from>
      <xdr:col>8</xdr:col>
      <xdr:colOff>0</xdr:colOff>
      <xdr:row>39</xdr:row>
      <xdr:rowOff>99060</xdr:rowOff>
    </xdr:from>
    <xdr:ext cx="2446020" cy="31149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 txBox="1"/>
      </xdr:nvSpPr>
      <xdr:spPr>
        <a:xfrm>
          <a:off x="1839951" y="4373694"/>
          <a:ext cx="244602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US" sz="1400" b="1"/>
            <a:t>BALANCE SHEET</a:t>
          </a:r>
        </a:p>
      </xdr:txBody>
    </xdr:sp>
    <xdr:clientData/>
  </xdr:oneCellAnchor>
  <xdr:twoCellAnchor editAs="oneCell">
    <xdr:from>
      <xdr:col>7</xdr:col>
      <xdr:colOff>604025</xdr:colOff>
      <xdr:row>46</xdr:row>
      <xdr:rowOff>9293</xdr:rowOff>
    </xdr:from>
    <xdr:to>
      <xdr:col>13</xdr:col>
      <xdr:colOff>427464</xdr:colOff>
      <xdr:row>51</xdr:row>
      <xdr:rowOff>124847</xdr:rowOff>
    </xdr:to>
    <xdr:pic>
      <xdr:nvPicPr>
        <xdr:cNvPr id="11" name="Picture 15" descr="https://pmf.ngo/images/foundation/home/logo.png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897245" y="9293"/>
          <a:ext cx="3503341" cy="1044822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7</xdr:row>
          <xdr:rowOff>167640</xdr:rowOff>
        </xdr:from>
        <xdr:to>
          <xdr:col>8</xdr:col>
          <xdr:colOff>601980</xdr:colOff>
          <xdr:row>10</xdr:row>
          <xdr:rowOff>15240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940E7D96-E791-325B-D571-D64A3A40F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FF6600"/>
                  </a:solidFill>
                  <a:latin typeface="Agency F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601980</xdr:colOff>
          <xdr:row>7</xdr:row>
          <xdr:rowOff>167640</xdr:rowOff>
        </xdr:from>
        <xdr:to>
          <xdr:col>18</xdr:col>
          <xdr:colOff>15240</xdr:colOff>
          <xdr:row>9</xdr:row>
          <xdr:rowOff>175260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BDAFABCC-B07B-4AD1-DE05-C83BF4972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FF6600"/>
                  </a:solidFill>
                  <a:latin typeface="Agency F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579120</xdr:colOff>
          <xdr:row>14</xdr:row>
          <xdr:rowOff>167640</xdr:rowOff>
        </xdr:from>
        <xdr:to>
          <xdr:col>9</xdr:col>
          <xdr:colOff>0</xdr:colOff>
          <xdr:row>18</xdr:row>
          <xdr:rowOff>30480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D134B0FB-2671-FC94-3345-BFEF9E8A9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FF6600"/>
                  </a:solidFill>
                  <a:latin typeface="Agency F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</xdr:colOff>
          <xdr:row>14</xdr:row>
          <xdr:rowOff>175260</xdr:rowOff>
        </xdr:from>
        <xdr:to>
          <xdr:col>18</xdr:col>
          <xdr:colOff>38100</xdr:colOff>
          <xdr:row>17</xdr:row>
          <xdr:rowOff>175260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C0D5E1FE-CFDD-F09E-E713-FFA84EEC28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FF6600"/>
                  </a:solidFill>
                  <a:latin typeface="Agency F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579120</xdr:colOff>
          <xdr:row>22</xdr:row>
          <xdr:rowOff>167640</xdr:rowOff>
        </xdr:from>
        <xdr:to>
          <xdr:col>9</xdr:col>
          <xdr:colOff>0</xdr:colOff>
          <xdr:row>26</xdr:row>
          <xdr:rowOff>30480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18EDEFF1-18B7-CE35-848A-61B377876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FF6600"/>
                  </a:solidFill>
                  <a:latin typeface="Agency F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579120</xdr:colOff>
          <xdr:row>30</xdr:row>
          <xdr:rowOff>167640</xdr:rowOff>
        </xdr:from>
        <xdr:to>
          <xdr:col>9</xdr:col>
          <xdr:colOff>0</xdr:colOff>
          <xdr:row>34</xdr:row>
          <xdr:rowOff>30480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3722ABBD-2A2A-8A4A-FD52-DE4BB1F6E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FF6600"/>
                  </a:solidFill>
                  <a:latin typeface="Agency F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</xdr:colOff>
          <xdr:row>30</xdr:row>
          <xdr:rowOff>175260</xdr:rowOff>
        </xdr:from>
        <xdr:to>
          <xdr:col>18</xdr:col>
          <xdr:colOff>38100</xdr:colOff>
          <xdr:row>33</xdr:row>
          <xdr:rowOff>175260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17E17FBF-E767-47C8-E0FD-2F5799BC4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FF6600"/>
                  </a:solidFill>
                  <a:latin typeface="Agency F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579120</xdr:colOff>
          <xdr:row>38</xdr:row>
          <xdr:rowOff>167640</xdr:rowOff>
        </xdr:from>
        <xdr:to>
          <xdr:col>14</xdr:col>
          <xdr:colOff>0</xdr:colOff>
          <xdr:row>42</xdr:row>
          <xdr:rowOff>30480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B6E76DA3-BEEE-3AF5-9A33-CD92F294C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FF6600"/>
                  </a:solidFill>
                  <a:latin typeface="Agency F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jwal Augustine" refreshedDate="45511.744402777775" createdVersion="3" refreshedVersion="8" minRefreshableVersion="3" recordCount="569" xr:uid="{4242A671-FD79-4AFB-9EE7-231AD32A97DA}">
  <cacheSource type="worksheet">
    <worksheetSource ref="B2:H2288" sheet="PettyCash"/>
  </cacheSource>
  <cacheFields count="7">
    <cacheField name="Sl.no" numFmtId="0">
      <sharedItems containsBlank="1"/>
    </cacheField>
    <cacheField name="Date" numFmtId="0">
      <sharedItems containsNonDate="0" containsDate="1" containsString="0" containsBlank="1" minDate="1900-01-12T00:00:00" maxDate="2021-08-25T00:00:00"/>
    </cacheField>
    <cacheField name="Details" numFmtId="0">
      <sharedItems containsBlank="1" count="12">
        <s v="Opening Balance"/>
        <s v="Utilities"/>
        <s v="Grocery"/>
        <s v="Withdrawal From Bank"/>
        <s v="Stationery"/>
        <s v="Travelling"/>
        <s v="Legal Fees"/>
        <s v="Medical Expenses"/>
        <s v="Postage"/>
        <s v="Repairs"/>
        <s v="College Fees"/>
        <m/>
      </sharedItems>
    </cacheField>
    <cacheField name="Details2" numFmtId="0">
      <sharedItems containsBlank="1"/>
    </cacheField>
    <cacheField name="Expenses" numFmtId="0">
      <sharedItems containsString="0" containsBlank="1" containsNumber="1" containsInteger="1" minValue="20" maxValue="2186" count="50">
        <m/>
        <n v="175"/>
        <n v="530"/>
        <n v="462"/>
        <n v="220"/>
        <n v="1640"/>
        <n v="120"/>
        <n v="780"/>
        <n v="78"/>
        <n v="391"/>
        <n v="20"/>
        <n v="167"/>
        <n v="900"/>
        <n v="200"/>
        <n v="630"/>
        <n v="500"/>
        <n v="112"/>
        <n v="66"/>
        <n v="1869"/>
        <n v="1652"/>
        <n v="150"/>
        <n v="430"/>
        <n v="377"/>
        <n v="600"/>
        <n v="1890"/>
        <n v="100"/>
        <n v="640"/>
        <n v="41"/>
        <n v="590"/>
        <n v="521"/>
        <n v="60"/>
        <n v="280"/>
        <n v="273"/>
        <n v="170"/>
        <n v="352"/>
        <n v="254"/>
        <n v="250"/>
        <n v="176"/>
        <n v="48"/>
        <n v="1965"/>
        <n v="589"/>
        <n v="540"/>
        <n v="2186"/>
        <n v="160"/>
        <n v="1560"/>
        <n v="205"/>
        <n v="1850"/>
        <n v="850"/>
        <n v="288"/>
        <n v="290"/>
      </sharedItems>
    </cacheField>
    <cacheField name="Receipt" numFmtId="0">
      <sharedItems containsString="0" containsBlank="1" containsNumber="1" containsInteger="1" minValue="10000" maxValue="15000"/>
    </cacheField>
    <cacheField name="Balance" numFmtId="0">
      <sharedItems containsString="0" containsBlank="1" containsNumber="1" containsInteger="1" minValue="-215" maxValue="168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jwal Augustine" refreshedDate="45511.744407060185" createdVersion="3" refreshedVersion="8" minRefreshableVersion="3" recordCount="565" xr:uid="{18AFDB8D-1A57-4B6C-8EC2-A74625B294D6}">
  <cacheSource type="worksheet">
    <worksheetSource ref="B2:H2288" sheet="Corporation"/>
  </cacheSource>
  <cacheFields count="7">
    <cacheField name="Sl.no" numFmtId="0">
      <sharedItems containsBlank="1"/>
    </cacheField>
    <cacheField name="Date" numFmtId="0">
      <sharedItems containsNonDate="0" containsDate="1" containsString="0" containsBlank="1" minDate="2021-04-01T00:00:00" maxDate="2021-08-20T00:00:00"/>
    </cacheField>
    <cacheField name="Details" numFmtId="0">
      <sharedItems containsBlank="1" count="11">
        <s v="Opening Balance"/>
        <s v="Donation"/>
        <s v="Bank charges"/>
        <s v="Withdrawal From Bank"/>
        <s v="Ration"/>
        <s v="Salary"/>
        <s v="Rent"/>
        <s v="Advertisement"/>
        <s v="Insurance"/>
        <s v="School Fees"/>
        <m/>
      </sharedItems>
    </cacheField>
    <cacheField name="Details2" numFmtId="0">
      <sharedItems containsBlank="1"/>
    </cacheField>
    <cacheField name="Expenses" numFmtId="0">
      <sharedItems containsString="0" containsBlank="1" containsNumber="1" minValue="2.95" maxValue="22752" count="29">
        <m/>
        <n v="236"/>
        <n v="15000"/>
        <n v="4227"/>
        <n v="6750"/>
        <n v="5250"/>
        <n v="118"/>
        <n v="7500"/>
        <n v="10000"/>
        <n v="17500"/>
        <n v="13050"/>
        <n v="9000"/>
        <n v="4432"/>
        <n v="5667"/>
        <n v="2.95"/>
        <n v="2360"/>
        <n v="2531"/>
        <n v="11966"/>
        <n v="6541"/>
        <n v="8041"/>
        <n v="17.7"/>
        <n v="8700"/>
        <n v="6000"/>
        <n v="4500"/>
        <n v="3500"/>
        <n v="5.9"/>
        <n v="22752"/>
        <n v="5000"/>
        <n v="13105"/>
      </sharedItems>
    </cacheField>
    <cacheField name="Receipt" numFmtId="0">
      <sharedItems containsString="0" containsBlank="1" containsNumber="1" containsInteger="1" minValue="403" maxValue="50000"/>
    </cacheField>
    <cacheField name="Balance" numFmtId="0">
      <sharedItems containsString="0" containsBlank="1" containsNumber="1" minValue="-4470.8499999999767" maxValue="171078.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jwal Augustine" refreshedDate="45511.744410648149" createdVersion="3" refreshedVersion="8" minRefreshableVersion="3" recordCount="507" xr:uid="{DF248BD5-1626-417B-8F4D-A047B36ECBBF}">
  <cacheSource type="worksheet">
    <worksheetSource ref="B2:H2288" sheet="ICICI"/>
  </cacheSource>
  <cacheFields count="7">
    <cacheField name="Sl.no" numFmtId="0">
      <sharedItems containsBlank="1"/>
    </cacheField>
    <cacheField name="Date" numFmtId="0">
      <sharedItems containsNonDate="0" containsDate="1" containsString="0" containsBlank="1" minDate="2021-04-01T00:00:00" maxDate="2021-08-17T00:00:00"/>
    </cacheField>
    <cacheField name="Details" numFmtId="0">
      <sharedItems containsBlank="1" count="4">
        <s v="Opening Balance"/>
        <s v="Donation"/>
        <s v="instamojo"/>
        <m/>
      </sharedItems>
    </cacheField>
    <cacheField name="Details2" numFmtId="0">
      <sharedItems containsBlank="1"/>
    </cacheField>
    <cacheField name="Expenses" numFmtId="0">
      <sharedItems containsNonDate="0" containsString="0" containsBlank="1" count="1">
        <m/>
      </sharedItems>
    </cacheField>
    <cacheField name="Receipt" numFmtId="0">
      <sharedItems containsString="0" containsBlank="1" containsNumber="1" minValue="142.91999999999999" maxValue="25000"/>
    </cacheField>
    <cacheField name="Balance" numFmtId="0">
      <sharedItems containsString="0" containsBlank="1" containsNumber="1" minValue="29791.5" maxValue="90657.12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jwal Augustine" refreshedDate="45511.744417476853" createdVersion="3" refreshedVersion="8" minRefreshableVersion="3" recordCount="28" xr:uid="{AED1D7E0-0836-4177-96C4-132CD08EAD08}">
  <cacheSource type="worksheet">
    <worksheetSource ref="B3:C2000" sheet="FinalConsolidation"/>
  </cacheSource>
  <cacheFields count="2">
    <cacheField name="Description" numFmtId="0">
      <sharedItems containsBlank="1" count="18">
        <s v="College Fees"/>
        <s v="Grocery"/>
        <s v="Legal Fees"/>
        <s v="Medical Expenses"/>
        <s v="Postage"/>
        <s v="Repairs"/>
        <s v="Stationery"/>
        <s v="Travelling"/>
        <s v="Utilities"/>
        <s v="Advertisement"/>
        <s v="Bank charges"/>
        <s v="Insurance"/>
        <s v="Ration"/>
        <s v="Rent"/>
        <s v="Salary"/>
        <s v="School Fees"/>
        <s v="Withdrawal From Bank"/>
        <m/>
      </sharedItems>
    </cacheField>
    <cacheField name="Amount" numFmtId="0">
      <sharedItems containsString="0" containsBlank="1" containsNumber="1" minValue="41" maxValue="175165" count="18">
        <n v="6822"/>
        <n v="6811"/>
        <n v="2425"/>
        <n v="112"/>
        <n v="41"/>
        <n v="250"/>
        <n v="1568"/>
        <n v="4681"/>
        <n v="15019"/>
        <n v="2360"/>
        <n v="380.54999999999995"/>
        <n v="22752"/>
        <n v="11190"/>
        <n v="105000"/>
        <n v="175165"/>
        <n v="13105"/>
        <n v="350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jwal Augustine" refreshedDate="45511.752678935183" createdVersion="3" refreshedVersion="8" minRefreshableVersion="3" recordCount="556" xr:uid="{4EBBD90D-6CB6-4176-9D27-AC73DAA427B7}">
  <cacheSource type="worksheet">
    <worksheetSource ref="B2:H1387" sheet="OP&amp;CL"/>
  </cacheSource>
  <cacheFields count="7">
    <cacheField name="Sl.no" numFmtId="0">
      <sharedItems containsBlank="1"/>
    </cacheField>
    <cacheField name="Date" numFmtId="0">
      <sharedItems containsNonDate="0" containsDate="1" containsString="0" containsBlank="1" minDate="1900-01-12T00:00:00" maxDate="2021-05-01T00:00:00"/>
    </cacheField>
    <cacheField name="Details" numFmtId="0">
      <sharedItems containsBlank="1" count="15">
        <s v="Opening Balance"/>
        <s v="Utilities"/>
        <s v="Grocery"/>
        <s v="Withdrawal From Bank"/>
        <s v="Stationery"/>
        <s v="Travelling"/>
        <s v="Legal Fees"/>
        <s v="Medical Expenses"/>
        <s v="Postage"/>
        <s v="Donation"/>
        <s v="Bank charges"/>
        <s v="Ration"/>
        <s v="Salary"/>
        <s v="Rent"/>
        <m/>
      </sharedItems>
    </cacheField>
    <cacheField name="Details2" numFmtId="0">
      <sharedItems containsBlank="1"/>
    </cacheField>
    <cacheField name="Expenses" numFmtId="0">
      <sharedItems containsString="0" containsBlank="1" containsNumber="1" containsInteger="1" minValue="20" maxValue="17500" count="45">
        <m/>
        <n v="175"/>
        <n v="530"/>
        <n v="462"/>
        <n v="220"/>
        <n v="1640"/>
        <n v="120"/>
        <n v="780"/>
        <n v="78"/>
        <n v="391"/>
        <n v="20"/>
        <n v="167"/>
        <n v="900"/>
        <n v="200"/>
        <n v="630"/>
        <n v="500"/>
        <n v="112"/>
        <n v="66"/>
        <n v="1869"/>
        <n v="1652"/>
        <n v="150"/>
        <n v="430"/>
        <n v="377"/>
        <n v="600"/>
        <n v="1890"/>
        <n v="100"/>
        <n v="640"/>
        <n v="41"/>
        <n v="590"/>
        <n v="521"/>
        <n v="60"/>
        <n v="280"/>
        <n v="273"/>
        <n v="236"/>
        <n v="15000"/>
        <n v="4227"/>
        <n v="6750"/>
        <n v="5250"/>
        <n v="118"/>
        <n v="7500"/>
        <n v="10000"/>
        <n v="17500"/>
        <n v="13050"/>
        <n v="9000"/>
        <n v="4432"/>
      </sharedItems>
    </cacheField>
    <cacheField name="Receipt" numFmtId="0">
      <sharedItems containsString="0" containsBlank="1" containsNumber="1" containsInteger="1" minValue="1500" maxValue="25000"/>
    </cacheField>
    <cacheField name="Balance" numFmtId="0">
      <sharedItems containsString="0" containsBlank="1" containsNumber="1" containsInteger="1" minValue="-61167" maxValue="168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jwal Augustine" refreshedDate="45511.752687731481" createdVersion="3" refreshedVersion="8" minRefreshableVersion="3" recordCount="510" xr:uid="{D6A47320-4FC9-40DB-AE08-D68BCBE6B1E2}">
  <cacheSource type="worksheet">
    <worksheetSource ref="K3:Q1297" sheet="OP&amp;CL"/>
  </cacheSource>
  <cacheFields count="7">
    <cacheField name="Sl.no" numFmtId="0">
      <sharedItems containsBlank="1"/>
    </cacheField>
    <cacheField name="Date" numFmtId="0">
      <sharedItems containsNonDate="0" containsDate="1" containsString="0" containsBlank="1" minDate="2021-04-01T00:00:00" maxDate="2021-08-02T00:00:00"/>
    </cacheField>
    <cacheField name="Details" numFmtId="0">
      <sharedItems containsBlank="1" count="5">
        <s v="Opening Balance"/>
        <s v="Utilities"/>
        <s v="Rent"/>
        <s v="Salary"/>
        <m/>
      </sharedItems>
    </cacheField>
    <cacheField name="Details2" numFmtId="0">
      <sharedItems containsBlank="1"/>
    </cacheField>
    <cacheField name="Expenses" numFmtId="0">
      <sharedItems containsString="0" containsBlank="1" containsNumber="1" containsInteger="1" minValue="175" maxValue="17500" count="5">
        <m/>
        <n v="175"/>
        <n v="1640"/>
        <n v="17500"/>
        <n v="13050"/>
      </sharedItems>
    </cacheField>
    <cacheField name="Receipt" numFmtId="0">
      <sharedItems containsNonDate="0" containsString="0" containsBlank="1"/>
    </cacheField>
    <cacheField name="Balance" numFmtId="0">
      <sharedItems containsString="0" containsBlank="1" containsNumber="1" containsInteger="1" minValue="29450" maxValue="6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s v="April-A0"/>
    <d v="2021-04-01T00:00:00"/>
    <x v="0"/>
    <m/>
    <x v="0"/>
    <m/>
    <n v="2514"/>
  </r>
  <r>
    <s v="April-A1"/>
    <d v="2021-04-01T00:00:00"/>
    <x v="1"/>
    <s v="Paper Bill"/>
    <x v="1"/>
    <m/>
    <n v="2339"/>
  </r>
  <r>
    <s v="April-A2"/>
    <d v="2021-04-05T00:00:00"/>
    <x v="2"/>
    <s v="Vegetables"/>
    <x v="2"/>
    <m/>
    <n v="1809"/>
  </r>
  <r>
    <s v="April-A3"/>
    <d v="2021-04-06T00:00:00"/>
    <x v="3"/>
    <s v="Petty Cash"/>
    <x v="0"/>
    <n v="15000"/>
    <n v="16809"/>
  </r>
  <r>
    <s v="April-A4"/>
    <d v="2021-04-06T00:00:00"/>
    <x v="2"/>
    <s v="Milk"/>
    <x v="3"/>
    <m/>
    <n v="16347"/>
  </r>
  <r>
    <s v="April-A5"/>
    <d v="2021-04-06T00:00:00"/>
    <x v="4"/>
    <s v="A4 Sheet"/>
    <x v="4"/>
    <m/>
    <n v="16127"/>
  </r>
  <r>
    <s v="April-A6"/>
    <d v="2021-04-06T00:00:00"/>
    <x v="1"/>
    <s v="Gas Filling"/>
    <x v="5"/>
    <m/>
    <n v="14487"/>
  </r>
  <r>
    <s v="April-A7"/>
    <d v="2021-04-06T00:00:00"/>
    <x v="5"/>
    <s v="Auto"/>
    <x v="6"/>
    <m/>
    <n v="14367"/>
  </r>
  <r>
    <s v="April-A8"/>
    <d v="2021-04-07T00:00:00"/>
    <x v="5"/>
    <s v="Arathi Bus Fare"/>
    <x v="7"/>
    <m/>
    <n v="13587"/>
  </r>
  <r>
    <s v="April-A9"/>
    <d v="2021-04-07T00:00:00"/>
    <x v="4"/>
    <s v="Photocopy"/>
    <x v="8"/>
    <m/>
    <n v="13509"/>
  </r>
  <r>
    <s v="April-A10"/>
    <d v="2021-04-08T00:00:00"/>
    <x v="5"/>
    <s v="Amritha"/>
    <x v="9"/>
    <m/>
    <n v="13118"/>
  </r>
  <r>
    <s v="April-A11"/>
    <d v="2021-04-08T00:00:00"/>
    <x v="4"/>
    <s v="Photocopy"/>
    <x v="10"/>
    <m/>
    <n v="13098"/>
  </r>
  <r>
    <s v="April-A12"/>
    <d v="2021-04-08T00:00:00"/>
    <x v="2"/>
    <s v="Vegetables"/>
    <x v="11"/>
    <m/>
    <n v="12931"/>
  </r>
  <r>
    <s v="April-A13"/>
    <d v="2021-04-08T00:00:00"/>
    <x v="4"/>
    <s v="Letterhead an envelop"/>
    <x v="12"/>
    <m/>
    <n v="12031"/>
  </r>
  <r>
    <s v="April-A14"/>
    <d v="2021-04-08T00:00:00"/>
    <x v="2"/>
    <s v="Fish"/>
    <x v="13"/>
    <m/>
    <n v="11831"/>
  </r>
  <r>
    <s v="April-A15"/>
    <d v="2021-04-12T00:00:00"/>
    <x v="2"/>
    <s v="Vegetables"/>
    <x v="14"/>
    <m/>
    <n v="11201"/>
  </r>
  <r>
    <s v="April-A16"/>
    <d v="2021-04-12T00:00:00"/>
    <x v="6"/>
    <s v="panchayat License"/>
    <x v="15"/>
    <m/>
    <n v="10701"/>
  </r>
  <r>
    <s v="April-A17"/>
    <d v="2021-04-12T00:00:00"/>
    <x v="7"/>
    <s v="Tablets"/>
    <x v="16"/>
    <m/>
    <n v="10589"/>
  </r>
  <r>
    <s v="April-A18"/>
    <d v="2021-04-12T00:00:00"/>
    <x v="2"/>
    <s v="Milk"/>
    <x v="3"/>
    <m/>
    <n v="10127"/>
  </r>
  <r>
    <s v="April-A19"/>
    <d v="2021-04-12T00:00:00"/>
    <x v="2"/>
    <s v="Milk"/>
    <x v="17"/>
    <m/>
    <n v="10061"/>
  </r>
  <r>
    <s v="April-A20"/>
    <d v="2021-04-12T00:00:00"/>
    <x v="1"/>
    <s v="Electricity"/>
    <x v="18"/>
    <m/>
    <n v="8192"/>
  </r>
  <r>
    <s v="April-A21"/>
    <d v="2021-04-15T00:00:00"/>
    <x v="6"/>
    <s v="Fire Extinguisher"/>
    <x v="19"/>
    <m/>
    <n v="6540"/>
  </r>
  <r>
    <s v="April-A22"/>
    <d v="2021-04-15T00:00:00"/>
    <x v="2"/>
    <s v="Fish"/>
    <x v="20"/>
    <m/>
    <n v="6390"/>
  </r>
  <r>
    <s v="April-A23"/>
    <d v="2021-04-15T00:00:00"/>
    <x v="5"/>
    <s v="Toll Exp"/>
    <x v="21"/>
    <m/>
    <n v="5960"/>
  </r>
  <r>
    <s v="April-A24"/>
    <d v="2021-04-15T00:00:00"/>
    <x v="2"/>
    <s v="Food Breakfast"/>
    <x v="22"/>
    <m/>
    <n v="5583"/>
  </r>
  <r>
    <s v="April-A25"/>
    <d v="2021-04-15T00:00:00"/>
    <x v="2"/>
    <s v="Food Lunch"/>
    <x v="23"/>
    <m/>
    <n v="4983"/>
  </r>
  <r>
    <s v="April-A26"/>
    <d v="2021-04-15T00:00:00"/>
    <x v="5"/>
    <s v="Petrol"/>
    <x v="24"/>
    <m/>
    <n v="3093"/>
  </r>
  <r>
    <s v="April-A27"/>
    <d v="2021-04-16T00:00:00"/>
    <x v="3"/>
    <s v="Petty Cash"/>
    <x v="0"/>
    <n v="10000"/>
    <n v="13093"/>
  </r>
  <r>
    <s v="April-A28"/>
    <d v="1900-01-12T00:00:00"/>
    <x v="5"/>
    <s v="Auto"/>
    <x v="25"/>
    <m/>
    <n v="12993"/>
  </r>
  <r>
    <s v="April-A29"/>
    <d v="2021-04-19T00:00:00"/>
    <x v="2"/>
    <s v="Vegetables"/>
    <x v="26"/>
    <m/>
    <n v="12353"/>
  </r>
  <r>
    <s v="April-A30"/>
    <d v="2021-04-20T00:00:00"/>
    <x v="2"/>
    <s v="Milk"/>
    <x v="3"/>
    <m/>
    <n v="11891"/>
  </r>
  <r>
    <s v="April-A31"/>
    <d v="2021-04-20T00:00:00"/>
    <x v="8"/>
    <s v="PWD Letter"/>
    <x v="27"/>
    <m/>
    <n v="11850"/>
  </r>
  <r>
    <s v="April-A32"/>
    <d v="2021-04-22T00:00:00"/>
    <x v="1"/>
    <s v="Internet"/>
    <x v="28"/>
    <m/>
    <n v="11260"/>
  </r>
  <r>
    <s v="April-A33"/>
    <d v="2021-04-26T00:00:00"/>
    <x v="2"/>
    <s v="Vegetables"/>
    <x v="29"/>
    <m/>
    <n v="10739"/>
  </r>
  <r>
    <s v="April-A34"/>
    <d v="2021-04-26T00:00:00"/>
    <x v="2"/>
    <s v="Fish"/>
    <x v="13"/>
    <m/>
    <n v="10539"/>
  </r>
  <r>
    <s v="April-A35"/>
    <d v="2021-04-27T00:00:00"/>
    <x v="2"/>
    <s v="Milk"/>
    <x v="3"/>
    <m/>
    <n v="10077"/>
  </r>
  <r>
    <s v="April-A36"/>
    <d v="2021-04-27T00:00:00"/>
    <x v="4"/>
    <s v="Id Card Lamination"/>
    <x v="30"/>
    <m/>
    <n v="10017"/>
  </r>
  <r>
    <s v="April-A37"/>
    <d v="2021-04-30T00:00:00"/>
    <x v="1"/>
    <s v="Dish Recharge"/>
    <x v="31"/>
    <m/>
    <n v="9737"/>
  </r>
  <r>
    <s v="April-A38"/>
    <d v="2021-04-30T00:00:00"/>
    <x v="6"/>
    <s v="Road Sketch"/>
    <x v="32"/>
    <m/>
    <n v="9464"/>
  </r>
  <r>
    <s v="May-A1"/>
    <d v="2021-05-01T00:00:00"/>
    <x v="1"/>
    <s v="Paper Bill"/>
    <x v="33"/>
    <m/>
    <n v="9294"/>
  </r>
  <r>
    <s v="May-A2"/>
    <d v="2021-05-01T00:00:00"/>
    <x v="2"/>
    <s v="Fish"/>
    <x v="25"/>
    <m/>
    <n v="9194"/>
  </r>
  <r>
    <s v="May-A3"/>
    <d v="2021-05-04T00:00:00"/>
    <x v="2"/>
    <s v="Milk"/>
    <x v="34"/>
    <m/>
    <n v="8842"/>
  </r>
  <r>
    <s v="May-A4"/>
    <d v="2021-05-04T00:00:00"/>
    <x v="2"/>
    <s v="Vegetables"/>
    <x v="35"/>
    <m/>
    <n v="8588"/>
  </r>
  <r>
    <s v="May-A5"/>
    <d v="2021-05-04T00:00:00"/>
    <x v="5"/>
    <s v="Namrutha"/>
    <x v="20"/>
    <m/>
    <n v="8438"/>
  </r>
  <r>
    <s v="May-A6"/>
    <d v="2021-05-07T00:00:00"/>
    <x v="9"/>
    <s v="pump of well"/>
    <x v="36"/>
    <m/>
    <n v="8188"/>
  </r>
  <r>
    <s v="May-A7"/>
    <d v="2021-05-08T00:00:00"/>
    <x v="2"/>
    <s v="Milk"/>
    <x v="37"/>
    <m/>
    <n v="8012"/>
  </r>
  <r>
    <s v="May-A8"/>
    <d v="2021-05-08T00:00:00"/>
    <x v="1"/>
    <s v="Paper Bill"/>
    <x v="38"/>
    <m/>
    <n v="7964"/>
  </r>
  <r>
    <s v="May-A9"/>
    <d v="2021-05-08T00:00:00"/>
    <x v="1"/>
    <s v="Electriciy bill"/>
    <x v="39"/>
    <m/>
    <n v="5999"/>
  </r>
  <r>
    <s v="June-A1"/>
    <d v="2021-06-17T00:00:00"/>
    <x v="1"/>
    <s v="Electricity Bill"/>
    <x v="24"/>
    <m/>
    <n v="4109"/>
  </r>
  <r>
    <s v="June-A2"/>
    <d v="2021-06-30T00:00:00"/>
    <x v="1"/>
    <s v="Internet Charges"/>
    <x v="40"/>
    <m/>
    <n v="3520"/>
  </r>
  <r>
    <s v="June-A3"/>
    <d v="2021-06-30T00:00:00"/>
    <x v="1"/>
    <s v="Internet Charges"/>
    <x v="28"/>
    <m/>
    <n v="2930"/>
  </r>
  <r>
    <s v="July-A1"/>
    <d v="2021-07-01T00:00:00"/>
    <x v="5"/>
    <s v="Aarathi "/>
    <x v="41"/>
    <m/>
    <n v="2390"/>
  </r>
  <r>
    <s v="July-A2"/>
    <d v="2021-07-12T00:00:00"/>
    <x v="10"/>
    <s v="Sujatha"/>
    <x v="42"/>
    <m/>
    <n v="204"/>
  </r>
  <r>
    <s v="July-A3"/>
    <d v="2021-07-12T00:00:00"/>
    <x v="3"/>
    <m/>
    <x v="0"/>
    <n v="10000"/>
    <n v="10204"/>
  </r>
  <r>
    <s v="July-A4"/>
    <d v="2021-07-14T00:00:00"/>
    <x v="5"/>
    <s v="For Food from school"/>
    <x v="43"/>
    <m/>
    <n v="10044"/>
  </r>
  <r>
    <s v="July-A5"/>
    <d v="2021-07-22T00:00:00"/>
    <x v="5"/>
    <s v="Auto Charge"/>
    <x v="6"/>
    <m/>
    <n v="9924"/>
  </r>
  <r>
    <s v="July-A6"/>
    <d v="2021-07-22T00:00:00"/>
    <x v="1"/>
    <s v="Gas filling"/>
    <x v="44"/>
    <m/>
    <n v="8364"/>
  </r>
  <r>
    <s v="July-A7"/>
    <d v="2021-07-22T00:00:00"/>
    <x v="1"/>
    <s v="Electricity"/>
    <x v="4"/>
    <m/>
    <n v="8144"/>
  </r>
  <r>
    <s v="July-A8"/>
    <d v="2021-07-24T00:00:00"/>
    <x v="1"/>
    <s v="Internet Charges"/>
    <x v="40"/>
    <m/>
    <n v="7555"/>
  </r>
  <r>
    <s v="August-A1"/>
    <d v="2021-08-13T00:00:00"/>
    <x v="1"/>
    <s v="Electricity Bill"/>
    <x v="4"/>
    <m/>
    <n v="7335"/>
  </r>
  <r>
    <s v="August-A2"/>
    <d v="2021-08-17T00:00:00"/>
    <x v="10"/>
    <s v="Application Form"/>
    <x v="25"/>
    <m/>
    <n v="7235"/>
  </r>
  <r>
    <s v="August-A3"/>
    <d v="2021-08-18T00:00:00"/>
    <x v="10"/>
    <s v="TC Charges"/>
    <x v="45"/>
    <m/>
    <n v="7030"/>
  </r>
  <r>
    <s v="August-A4"/>
    <d v="2021-08-18T00:00:00"/>
    <x v="10"/>
    <s v="TC Charges"/>
    <x v="45"/>
    <m/>
    <n v="6825"/>
  </r>
  <r>
    <s v="August-A5"/>
    <d v="2021-08-18T00:00:00"/>
    <x v="10"/>
    <s v="Manamma Admission"/>
    <x v="46"/>
    <m/>
    <n v="4975"/>
  </r>
  <r>
    <s v="August-A6"/>
    <d v="2021-08-23T00:00:00"/>
    <x v="10"/>
    <s v="Uniform"/>
    <x v="47"/>
    <m/>
    <n v="4125"/>
  </r>
  <r>
    <s v="August-A7"/>
    <d v="2021-08-23T00:00:00"/>
    <x v="10"/>
    <s v="Uniform"/>
    <x v="47"/>
    <m/>
    <n v="3275"/>
  </r>
  <r>
    <s v="August-A8"/>
    <d v="2021-08-23T00:00:00"/>
    <x v="10"/>
    <s v="Note Books"/>
    <x v="48"/>
    <m/>
    <n v="2987"/>
  </r>
  <r>
    <s v="August-A9"/>
    <d v="2021-08-23T00:00:00"/>
    <x v="10"/>
    <s v="Note Books"/>
    <x v="48"/>
    <m/>
    <n v="2699"/>
  </r>
  <r>
    <s v="August-A10"/>
    <d v="2021-08-24T00:00:00"/>
    <x v="1"/>
    <s v="Intenet Charges"/>
    <x v="40"/>
    <m/>
    <n v="2110"/>
  </r>
  <r>
    <s v="August-A11"/>
    <d v="2021-08-24T00:00:00"/>
    <x v="4"/>
    <s v="Text Book"/>
    <x v="49"/>
    <m/>
    <n v="1820"/>
  </r>
  <r>
    <s v="September-A1"/>
    <d v="2021-08-13T00:00:00"/>
    <x v="1"/>
    <s v="Electricity Bill"/>
    <x v="4"/>
    <m/>
    <n v="1600"/>
  </r>
  <r>
    <s v="March-A1"/>
    <d v="2021-04-01T00:00:00"/>
    <x v="1"/>
    <s v="Paper Bill"/>
    <x v="1"/>
    <m/>
    <n v="1425"/>
  </r>
  <r>
    <s v="March-A2"/>
    <d v="2021-04-06T00:00:00"/>
    <x v="1"/>
    <s v="Gas Filling"/>
    <x v="5"/>
    <m/>
    <n v="-215"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  <r>
    <m/>
    <m/>
    <x v="11"/>
    <m/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5">
  <r>
    <s v="April-B0"/>
    <d v="2021-04-01T00:00:00"/>
    <x v="0"/>
    <m/>
    <x v="0"/>
    <m/>
    <n v="166078.70000000001"/>
  </r>
  <r>
    <s v="April-B1"/>
    <d v="2021-04-03T00:00:00"/>
    <x v="1"/>
    <s v="Jayalaxmi Silks"/>
    <x v="0"/>
    <n v="5000"/>
    <n v="171078.7"/>
  </r>
  <r>
    <s v="April-B2"/>
    <d v="2021-04-05T00:00:00"/>
    <x v="2"/>
    <s v="Cheque Issue"/>
    <x v="1"/>
    <m/>
    <n v="170842.7"/>
  </r>
  <r>
    <s v="April-B3"/>
    <d v="2021-04-06T00:00:00"/>
    <x v="3"/>
    <s v="Petty Cash"/>
    <x v="2"/>
    <m/>
    <n v="155842.70000000001"/>
  </r>
  <r>
    <s v="April-B4"/>
    <d v="2021-04-06T00:00:00"/>
    <x v="4"/>
    <s v="Prasad Kumar"/>
    <x v="3"/>
    <m/>
    <n v="151615.70000000001"/>
  </r>
  <r>
    <s v="April-B5"/>
    <d v="2021-04-07T00:00:00"/>
    <x v="5"/>
    <s v="Lalitha"/>
    <x v="4"/>
    <m/>
    <n v="144865.70000000001"/>
  </r>
  <r>
    <s v="April-B6"/>
    <d v="2021-04-07T00:00:00"/>
    <x v="5"/>
    <s v="Vinoda"/>
    <x v="5"/>
    <m/>
    <n v="139615.70000000001"/>
  </r>
  <r>
    <s v="April-B7"/>
    <d v="2021-04-08T00:00:00"/>
    <x v="2"/>
    <s v="Cheque Issue"/>
    <x v="6"/>
    <m/>
    <n v="139497.70000000001"/>
  </r>
  <r>
    <s v="April-B8"/>
    <d v="2021-04-15T00:00:00"/>
    <x v="1"/>
    <s v="Anuroop Reddy"/>
    <x v="0"/>
    <n v="4000"/>
    <n v="143497.70000000001"/>
  </r>
  <r>
    <s v="April-B9"/>
    <d v="2021-04-15T00:00:00"/>
    <x v="1"/>
    <s v="Naveen Raj"/>
    <x v="0"/>
    <n v="9000"/>
    <n v="152497.70000000001"/>
  </r>
  <r>
    <s v="April-B10"/>
    <d v="2021-04-16T00:00:00"/>
    <x v="5"/>
    <s v="Namrutha Raj Suvarna"/>
    <x v="7"/>
    <m/>
    <n v="144997.70000000001"/>
  </r>
  <r>
    <s v="April-B11"/>
    <d v="2021-04-16T00:00:00"/>
    <x v="3"/>
    <s v="Petty Cash"/>
    <x v="8"/>
    <m/>
    <n v="134997.70000000001"/>
  </r>
  <r>
    <s v="April-B12"/>
    <d v="2021-04-16T00:00:00"/>
    <x v="6"/>
    <s v="Harish Kumar"/>
    <x v="9"/>
    <m/>
    <n v="117497.70000000001"/>
  </r>
  <r>
    <s v="April-B13"/>
    <d v="2021-04-16T00:00:00"/>
    <x v="5"/>
    <s v="Geetha"/>
    <x v="10"/>
    <m/>
    <n v="104447.70000000001"/>
  </r>
  <r>
    <s v="April-B14"/>
    <d v="2021-04-16T00:00:00"/>
    <x v="5"/>
    <s v="Crystal Melissa Mendonca"/>
    <x v="11"/>
    <m/>
    <n v="95447.700000000012"/>
  </r>
  <r>
    <s v="April-B15"/>
    <d v="2021-04-20T00:00:00"/>
    <x v="1"/>
    <s v="Joel Dsilva"/>
    <x v="0"/>
    <n v="10000"/>
    <n v="105447.70000000001"/>
  </r>
  <r>
    <s v="April-B16"/>
    <d v="2021-04-21T00:00:00"/>
    <x v="4"/>
    <s v="Prasad Kumar"/>
    <x v="12"/>
    <m/>
    <n v="101015.70000000001"/>
  </r>
  <r>
    <s v="April-B17"/>
    <d v="2021-04-26T00:00:00"/>
    <x v="1"/>
    <s v="Sithara Nishanth"/>
    <x v="0"/>
    <n v="1500"/>
    <n v="102515.70000000001"/>
  </r>
  <r>
    <s v="April-B18"/>
    <d v="2021-04-27T00:00:00"/>
    <x v="1"/>
    <s v="Padmanabha Shenoy"/>
    <x v="0"/>
    <n v="5000"/>
    <n v="107515.70000000001"/>
  </r>
  <r>
    <s v="April-B19"/>
    <d v="2021-04-30T00:00:00"/>
    <x v="1"/>
    <s v="Dobin Fernandes"/>
    <x v="0"/>
    <n v="2500"/>
    <n v="110015.70000000001"/>
  </r>
  <r>
    <s v="May-B1"/>
    <d v="2021-05-06T00:00:00"/>
    <x v="1"/>
    <s v="Henry Dsilva"/>
    <x v="0"/>
    <n v="15000"/>
    <n v="125015.70000000001"/>
  </r>
  <r>
    <s v="May-B2"/>
    <d v="2021-05-07T00:00:00"/>
    <x v="5"/>
    <s v="Lalitha"/>
    <x v="13"/>
    <m/>
    <n v="119348.70000000001"/>
  </r>
  <r>
    <s v="May-B3"/>
    <d v="2021-05-07T00:00:00"/>
    <x v="6"/>
    <s v="Harish umar"/>
    <x v="9"/>
    <m/>
    <n v="101848.70000000001"/>
  </r>
  <r>
    <s v="May-B4"/>
    <d v="2021-05-07T00:00:00"/>
    <x v="2"/>
    <m/>
    <x v="14"/>
    <m/>
    <n v="101845.75000000001"/>
  </r>
  <r>
    <s v="May-B5"/>
    <d v="2021-05-07T00:00:00"/>
    <x v="7"/>
    <s v="Erachana technologies"/>
    <x v="15"/>
    <m/>
    <n v="99485.750000000015"/>
  </r>
  <r>
    <s v="May-B6"/>
    <d v="2021-05-07T00:00:00"/>
    <x v="1"/>
    <s v="Hotte thumba"/>
    <x v="0"/>
    <n v="403"/>
    <n v="99888.750000000015"/>
  </r>
  <r>
    <s v="May-B7"/>
    <d v="2021-05-07T00:00:00"/>
    <x v="5"/>
    <s v="Vinoda"/>
    <x v="5"/>
    <m/>
    <n v="94638.750000000015"/>
  </r>
  <r>
    <s v="May-B8"/>
    <d v="2021-05-12T00:00:00"/>
    <x v="4"/>
    <s v="Prasad Kumar"/>
    <x v="16"/>
    <m/>
    <n v="92107.750000000015"/>
  </r>
  <r>
    <s v="May-B9"/>
    <d v="2021-05-17T00:00:00"/>
    <x v="5"/>
    <s v="Geetha"/>
    <x v="17"/>
    <m/>
    <n v="80141.750000000015"/>
  </r>
  <r>
    <s v="May-B10"/>
    <d v="2021-05-17T00:00:00"/>
    <x v="5"/>
    <s v="Namrutha Raj Suvarna"/>
    <x v="18"/>
    <m/>
    <n v="73600.750000000015"/>
  </r>
  <r>
    <s v="May-B11"/>
    <d v="2021-05-17T00:00:00"/>
    <x v="5"/>
    <s v="Crystal "/>
    <x v="19"/>
    <m/>
    <n v="65559.750000000015"/>
  </r>
  <r>
    <s v="May-B12"/>
    <d v="2021-05-18T00:00:00"/>
    <x v="1"/>
    <s v="Sameer Baikadi"/>
    <x v="0"/>
    <n v="50000"/>
    <n v="115559.75000000001"/>
  </r>
  <r>
    <s v="May-B13"/>
    <d v="2021-05-18T00:00:00"/>
    <x v="1"/>
    <s v="Jayalaxmi sils"/>
    <x v="0"/>
    <n v="5000"/>
    <n v="120559.75000000001"/>
  </r>
  <r>
    <s v="June-B1"/>
    <d v="2021-06-03T00:00:00"/>
    <x v="1"/>
    <s v="Anupama-Shanta Raghuram Shetty"/>
    <x v="0"/>
    <n v="5000"/>
    <n v="125559.75000000001"/>
  </r>
  <r>
    <s v="June-B2"/>
    <d v="2021-06-04T00:00:00"/>
    <x v="1"/>
    <s v="Anusha"/>
    <x v="0"/>
    <n v="1000"/>
    <n v="126559.75000000001"/>
  </r>
  <r>
    <s v="June-B3"/>
    <d v="2021-06-16T00:00:00"/>
    <x v="2"/>
    <s v="Sms charges"/>
    <x v="20"/>
    <m/>
    <n v="126542.05000000002"/>
  </r>
  <r>
    <s v="June-B4"/>
    <d v="2021-06-17T00:00:00"/>
    <x v="5"/>
    <s v="Geetha"/>
    <x v="21"/>
    <m/>
    <n v="117842.05000000002"/>
  </r>
  <r>
    <s v="June-B5"/>
    <d v="2021-06-17T00:00:00"/>
    <x v="5"/>
    <s v="Crystal"/>
    <x v="22"/>
    <m/>
    <n v="111842.05000000002"/>
  </r>
  <r>
    <s v="June-B6"/>
    <d v="2021-06-17T00:00:00"/>
    <x v="5"/>
    <s v="Vinoda"/>
    <x v="23"/>
    <m/>
    <n v="107342.05000000002"/>
  </r>
  <r>
    <s v="June-B7"/>
    <d v="2021-06-17T00:00:00"/>
    <x v="5"/>
    <s v="Lalitha"/>
    <x v="24"/>
    <m/>
    <n v="103842.05000000002"/>
  </r>
  <r>
    <s v="June-B8"/>
    <d v="2021-06-17T00:00:00"/>
    <x v="2"/>
    <s v="Charges for pord"/>
    <x v="25"/>
    <m/>
    <n v="103836.15000000002"/>
  </r>
  <r>
    <s v="June-B9"/>
    <d v="2021-06-17T00:00:00"/>
    <x v="8"/>
    <s v="Star Health And Allied Insurance"/>
    <x v="26"/>
    <m/>
    <n v="81084.150000000023"/>
  </r>
  <r>
    <s v="June-B10"/>
    <d v="2021-06-17T00:00:00"/>
    <x v="6"/>
    <s v="Harish Kumar"/>
    <x v="9"/>
    <m/>
    <n v="63584.150000000023"/>
  </r>
  <r>
    <s v="June-B11"/>
    <d v="2021-06-18T00:00:00"/>
    <x v="5"/>
    <s v="Namrutha"/>
    <x v="27"/>
    <m/>
    <n v="58584.150000000023"/>
  </r>
  <r>
    <s v="July-B1"/>
    <d v="2021-07-03T00:00:00"/>
    <x v="1"/>
    <s v="Anupama-Shanta Raghuram Shetty"/>
    <x v="0"/>
    <n v="5000"/>
    <n v="63584.150000000023"/>
  </r>
  <r>
    <s v="July-B2"/>
    <d v="2021-07-06T00:00:00"/>
    <x v="1"/>
    <s v="Nishal"/>
    <x v="0"/>
    <n v="1000"/>
    <n v="64584.150000000023"/>
  </r>
  <r>
    <s v="July-B3"/>
    <d v="2021-07-09T00:00:00"/>
    <x v="6"/>
    <s v="harish kumar"/>
    <x v="9"/>
    <m/>
    <n v="47084.150000000023"/>
  </r>
  <r>
    <s v="July-B4"/>
    <d v="2021-07-09T00:00:00"/>
    <x v="5"/>
    <s v="Lalitha"/>
    <x v="23"/>
    <m/>
    <n v="42584.150000000023"/>
  </r>
  <r>
    <s v="July-B5"/>
    <d v="2021-07-12T00:00:00"/>
    <x v="3"/>
    <s v="Petty Cash"/>
    <x v="8"/>
    <m/>
    <n v="32584.150000000023"/>
  </r>
  <r>
    <s v="July-B6"/>
    <d v="2021-07-12T00:00:00"/>
    <x v="5"/>
    <s v="Vinoda"/>
    <x v="24"/>
    <m/>
    <n v="29084.150000000023"/>
  </r>
  <r>
    <s v="July-B7"/>
    <d v="2021-07-15T00:00:00"/>
    <x v="5"/>
    <s v="Geetha"/>
    <x v="21"/>
    <m/>
    <n v="20384.150000000023"/>
  </r>
  <r>
    <s v="July-B8"/>
    <d v="2021-07-15T00:00:00"/>
    <x v="5"/>
    <s v="Crystal"/>
    <x v="22"/>
    <m/>
    <n v="14384.150000000023"/>
  </r>
  <r>
    <s v="July-B9"/>
    <d v="2021-07-15T00:00:00"/>
    <x v="1"/>
    <s v="Jayalaxmi"/>
    <x v="0"/>
    <n v="5000"/>
    <n v="19384.150000000023"/>
  </r>
  <r>
    <s v="July-B10"/>
    <d v="2021-07-16T00:00:00"/>
    <x v="1"/>
    <s v="Jayalaxmi"/>
    <x v="0"/>
    <n v="5000"/>
    <n v="24384.150000000023"/>
  </r>
  <r>
    <s v="July-B11"/>
    <d v="2021-07-29T00:00:00"/>
    <x v="1"/>
    <s v="Joscline"/>
    <x v="0"/>
    <n v="5000"/>
    <n v="29384.150000000023"/>
  </r>
  <r>
    <s v="August-B1"/>
    <d v="2021-08-02T00:00:00"/>
    <x v="5"/>
    <s v="Namrutha Raj Suvarna"/>
    <x v="27"/>
    <m/>
    <n v="24384.150000000023"/>
  </r>
  <r>
    <s v="August-B2"/>
    <d v="2021-08-05T00:00:00"/>
    <x v="1"/>
    <s v="Anupama-Shanta Raghuram Shetty"/>
    <x v="0"/>
    <n v="5000"/>
    <n v="29384.150000000023"/>
  </r>
  <r>
    <s v="August-B3"/>
    <d v="2021-08-06T00:00:00"/>
    <x v="5"/>
    <s v="lalitha"/>
    <x v="23"/>
    <m/>
    <n v="24884.150000000023"/>
  </r>
  <r>
    <s v="August-B4"/>
    <d v="2021-08-07T00:00:00"/>
    <x v="1"/>
    <s v="Jayalaxmi"/>
    <x v="0"/>
    <n v="5000"/>
    <n v="29884.150000000023"/>
  </r>
  <r>
    <s v="August-B5"/>
    <d v="2021-08-09T00:00:00"/>
    <x v="5"/>
    <s v="Vinoda"/>
    <x v="24"/>
    <m/>
    <n v="26384.150000000023"/>
  </r>
  <r>
    <s v="August-B6"/>
    <d v="2021-08-16T00:00:00"/>
    <x v="1"/>
    <s v="Arun"/>
    <x v="0"/>
    <n v="25000"/>
    <n v="51384.150000000023"/>
  </r>
  <r>
    <s v="August-B7"/>
    <d v="2021-08-17T00:00:00"/>
    <x v="5"/>
    <s v="Crystal"/>
    <x v="22"/>
    <m/>
    <n v="45384.150000000023"/>
  </r>
  <r>
    <s v="August-B8"/>
    <d v="2021-08-17T00:00:00"/>
    <x v="5"/>
    <s v="Geetha"/>
    <x v="21"/>
    <m/>
    <n v="36684.150000000023"/>
  </r>
  <r>
    <s v="August-B9"/>
    <d v="2021-08-17T00:00:00"/>
    <x v="5"/>
    <s v="Namrutha Raj Suvarna"/>
    <x v="27"/>
    <m/>
    <n v="31684.150000000023"/>
  </r>
  <r>
    <s v="August-B10"/>
    <d v="2021-08-19T00:00:00"/>
    <x v="6"/>
    <s v="Harish Kumar"/>
    <x v="9"/>
    <m/>
    <n v="14184.150000000023"/>
  </r>
  <r>
    <s v="August-B11"/>
    <m/>
    <x v="9"/>
    <s v="Milagres PU College"/>
    <x v="28"/>
    <m/>
    <n v="1079.1500000000233"/>
  </r>
  <r>
    <s v="September-B1"/>
    <d v="2021-08-16T00:00:00"/>
    <x v="1"/>
    <s v="Arun"/>
    <x v="0"/>
    <n v="25000"/>
    <n v="26079.150000000023"/>
  </r>
  <r>
    <s v="March-B1"/>
    <d v="2021-04-16T00:00:00"/>
    <x v="6"/>
    <s v="Harish Kumar"/>
    <x v="9"/>
    <m/>
    <n v="8579.1500000000233"/>
  </r>
  <r>
    <s v="March-B2"/>
    <d v="2021-04-16T00:00:00"/>
    <x v="5"/>
    <s v="Geetha"/>
    <x v="10"/>
    <m/>
    <n v="-4470.8499999999767"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  <r>
    <m/>
    <m/>
    <x v="10"/>
    <m/>
    <x v="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7">
  <r>
    <s v="April-C0"/>
    <d v="2021-04-01T00:00:00"/>
    <x v="0"/>
    <m/>
    <x v="0"/>
    <m/>
    <n v="29791.5"/>
  </r>
  <r>
    <s v="April-C1"/>
    <d v="2021-04-01T00:00:00"/>
    <x v="1"/>
    <s v="Exotic floor shop"/>
    <x v="0"/>
    <n v="25000"/>
    <n v="54791.5"/>
  </r>
  <r>
    <s v="May-C1"/>
    <d v="2021-05-24T00:00:00"/>
    <x v="2"/>
    <m/>
    <x v="0"/>
    <n v="142.91999999999999"/>
    <n v="54934.42"/>
  </r>
  <r>
    <s v="June-C1"/>
    <d v="2021-06-08T00:00:00"/>
    <x v="1"/>
    <s v="Gautham Srinivas"/>
    <x v="0"/>
    <n v="8784.06"/>
    <n v="63718.479999999996"/>
  </r>
  <r>
    <s v="June-C2"/>
    <d v="2021-06-17T00:00:00"/>
    <x v="1"/>
    <s v="Benita Sequeira"/>
    <x v="0"/>
    <n v="484.66"/>
    <n v="64203.14"/>
  </r>
  <r>
    <s v="June-C3"/>
    <d v="2021-06-28T00:00:00"/>
    <x v="1"/>
    <s v="Benita Sequeira"/>
    <x v="0"/>
    <n v="484.66"/>
    <n v="64687.8"/>
  </r>
  <r>
    <s v="July-C1"/>
    <d v="2021-07-26T00:00:00"/>
    <x v="2"/>
    <s v="Benita"/>
    <x v="0"/>
    <n v="484.66"/>
    <n v="65172.460000000006"/>
  </r>
  <r>
    <s v="August-C1"/>
    <d v="2021-08-12T00:00:00"/>
    <x v="2"/>
    <s v="Benita"/>
    <x v="0"/>
    <n v="484.66"/>
    <n v="65657.12000000001"/>
  </r>
  <r>
    <s v="September-C1"/>
    <d v="2021-08-16T00:00:00"/>
    <x v="1"/>
    <s v="Arun"/>
    <x v="0"/>
    <n v="25000"/>
    <n v="90657.12000000001"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  <r>
    <m/>
    <m/>
    <x v="3"/>
    <m/>
    <x v="0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2"/>
  </r>
  <r>
    <x v="13"/>
    <x v="13"/>
  </r>
  <r>
    <x v="14"/>
    <x v="14"/>
  </r>
  <r>
    <x v="15"/>
    <x v="15"/>
  </r>
  <r>
    <x v="16"/>
    <x v="16"/>
  </r>
  <r>
    <x v="17"/>
    <x v="17"/>
  </r>
  <r>
    <x v="17"/>
    <x v="17"/>
  </r>
  <r>
    <x v="17"/>
    <x v="17"/>
  </r>
  <r>
    <x v="17"/>
    <x v="17"/>
  </r>
  <r>
    <x v="17"/>
    <x v="17"/>
  </r>
  <r>
    <x v="17"/>
    <x v="17"/>
  </r>
  <r>
    <x v="17"/>
    <x v="17"/>
  </r>
  <r>
    <x v="17"/>
    <x v="17"/>
  </r>
  <r>
    <x v="17"/>
    <x v="17"/>
  </r>
  <r>
    <x v="17"/>
    <x v="17"/>
  </r>
  <r>
    <x v="17"/>
    <x v="1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6">
  <r>
    <s v="April-A0"/>
    <d v="2021-04-01T00:00:00"/>
    <x v="0"/>
    <m/>
    <x v="0"/>
    <m/>
    <n v="2514"/>
  </r>
  <r>
    <s v="April-A1"/>
    <d v="2021-04-01T00:00:00"/>
    <x v="1"/>
    <s v="Paper Bill"/>
    <x v="1"/>
    <m/>
    <n v="2339"/>
  </r>
  <r>
    <s v="April-A2"/>
    <d v="2021-04-05T00:00:00"/>
    <x v="2"/>
    <s v="Vegetables"/>
    <x v="2"/>
    <m/>
    <n v="1809"/>
  </r>
  <r>
    <s v="April-A3"/>
    <d v="2021-04-06T00:00:00"/>
    <x v="3"/>
    <s v="Petty Cash"/>
    <x v="0"/>
    <n v="15000"/>
    <n v="16809"/>
  </r>
  <r>
    <s v="April-A4"/>
    <d v="2021-04-06T00:00:00"/>
    <x v="2"/>
    <s v="Milk"/>
    <x v="3"/>
    <m/>
    <n v="16347"/>
  </r>
  <r>
    <s v="April-A5"/>
    <d v="2021-04-06T00:00:00"/>
    <x v="4"/>
    <s v="A4 Sheet"/>
    <x v="4"/>
    <m/>
    <n v="16127"/>
  </r>
  <r>
    <s v="April-A6"/>
    <d v="2021-04-06T00:00:00"/>
    <x v="1"/>
    <s v="Gas Filling"/>
    <x v="5"/>
    <m/>
    <n v="14487"/>
  </r>
  <r>
    <s v="April-A7"/>
    <d v="2021-04-06T00:00:00"/>
    <x v="5"/>
    <s v="Auto"/>
    <x v="6"/>
    <m/>
    <n v="14367"/>
  </r>
  <r>
    <s v="April-A8"/>
    <d v="2021-04-07T00:00:00"/>
    <x v="5"/>
    <s v="Arathi Bus Fare"/>
    <x v="7"/>
    <m/>
    <n v="13587"/>
  </r>
  <r>
    <s v="April-A9"/>
    <d v="2021-04-07T00:00:00"/>
    <x v="4"/>
    <s v="Photocopy"/>
    <x v="8"/>
    <m/>
    <n v="13509"/>
  </r>
  <r>
    <s v="April-A10"/>
    <d v="2021-04-08T00:00:00"/>
    <x v="5"/>
    <s v="Amritha"/>
    <x v="9"/>
    <m/>
    <n v="13118"/>
  </r>
  <r>
    <s v="April-A11"/>
    <d v="2021-04-08T00:00:00"/>
    <x v="4"/>
    <s v="Photocopy"/>
    <x v="10"/>
    <m/>
    <n v="13098"/>
  </r>
  <r>
    <s v="April-A12"/>
    <d v="2021-04-08T00:00:00"/>
    <x v="2"/>
    <s v="Vegetables"/>
    <x v="11"/>
    <m/>
    <n v="12931"/>
  </r>
  <r>
    <s v="April-A13"/>
    <d v="2021-04-08T00:00:00"/>
    <x v="4"/>
    <s v="Letterhead an envelop"/>
    <x v="12"/>
    <m/>
    <n v="12031"/>
  </r>
  <r>
    <s v="April-A14"/>
    <d v="2021-04-08T00:00:00"/>
    <x v="2"/>
    <s v="Fish"/>
    <x v="13"/>
    <m/>
    <n v="11831"/>
  </r>
  <r>
    <s v="April-A15"/>
    <d v="2021-04-12T00:00:00"/>
    <x v="2"/>
    <s v="Vegetables"/>
    <x v="14"/>
    <m/>
    <n v="11201"/>
  </r>
  <r>
    <s v="April-A16"/>
    <d v="2021-04-12T00:00:00"/>
    <x v="6"/>
    <s v="panchayat License"/>
    <x v="15"/>
    <m/>
    <n v="10701"/>
  </r>
  <r>
    <s v="April-A17"/>
    <d v="2021-04-12T00:00:00"/>
    <x v="7"/>
    <s v="Tablets"/>
    <x v="16"/>
    <m/>
    <n v="10589"/>
  </r>
  <r>
    <s v="April-A18"/>
    <d v="2021-04-12T00:00:00"/>
    <x v="2"/>
    <s v="Milk"/>
    <x v="3"/>
    <m/>
    <n v="10127"/>
  </r>
  <r>
    <s v="April-A19"/>
    <d v="2021-04-12T00:00:00"/>
    <x v="2"/>
    <s v="Milk"/>
    <x v="17"/>
    <m/>
    <n v="10061"/>
  </r>
  <r>
    <s v="April-A20"/>
    <d v="2021-04-12T00:00:00"/>
    <x v="1"/>
    <s v="Electricity"/>
    <x v="18"/>
    <m/>
    <n v="8192"/>
  </r>
  <r>
    <s v="April-A21"/>
    <d v="2021-04-15T00:00:00"/>
    <x v="6"/>
    <s v="Fire Extinguisher"/>
    <x v="19"/>
    <m/>
    <n v="6540"/>
  </r>
  <r>
    <s v="April-A22"/>
    <d v="2021-04-15T00:00:00"/>
    <x v="2"/>
    <s v="Fish"/>
    <x v="20"/>
    <m/>
    <n v="6390"/>
  </r>
  <r>
    <s v="April-A23"/>
    <d v="2021-04-15T00:00:00"/>
    <x v="5"/>
    <s v="Toll Exp"/>
    <x v="21"/>
    <m/>
    <n v="5960"/>
  </r>
  <r>
    <s v="April-A24"/>
    <d v="2021-04-15T00:00:00"/>
    <x v="2"/>
    <s v="Food Breakfast"/>
    <x v="22"/>
    <m/>
    <n v="5583"/>
  </r>
  <r>
    <s v="April-A25"/>
    <d v="2021-04-15T00:00:00"/>
    <x v="2"/>
    <s v="Food Lunch"/>
    <x v="23"/>
    <m/>
    <n v="4983"/>
  </r>
  <r>
    <s v="April-A26"/>
    <d v="2021-04-15T00:00:00"/>
    <x v="5"/>
    <s v="Petrol"/>
    <x v="24"/>
    <m/>
    <n v="3093"/>
  </r>
  <r>
    <s v="April-A27"/>
    <d v="2021-04-16T00:00:00"/>
    <x v="3"/>
    <s v="Petty Cash"/>
    <x v="0"/>
    <n v="10000"/>
    <n v="13093"/>
  </r>
  <r>
    <s v="April-A28"/>
    <d v="1900-01-12T00:00:00"/>
    <x v="5"/>
    <s v="Auto"/>
    <x v="25"/>
    <m/>
    <n v="12993"/>
  </r>
  <r>
    <s v="April-A29"/>
    <d v="2021-04-19T00:00:00"/>
    <x v="2"/>
    <s v="Vegetables"/>
    <x v="26"/>
    <m/>
    <n v="12353"/>
  </r>
  <r>
    <s v="April-A30"/>
    <d v="2021-04-20T00:00:00"/>
    <x v="2"/>
    <s v="Milk"/>
    <x v="3"/>
    <m/>
    <n v="11891"/>
  </r>
  <r>
    <s v="April-A31"/>
    <d v="2021-04-20T00:00:00"/>
    <x v="8"/>
    <s v="PWD Letter"/>
    <x v="27"/>
    <m/>
    <n v="11850"/>
  </r>
  <r>
    <s v="April-A32"/>
    <d v="2021-04-22T00:00:00"/>
    <x v="1"/>
    <s v="Internet"/>
    <x v="28"/>
    <m/>
    <n v="11260"/>
  </r>
  <r>
    <s v="April-A33"/>
    <d v="2021-04-26T00:00:00"/>
    <x v="2"/>
    <s v="Vegetables"/>
    <x v="29"/>
    <m/>
    <n v="10739"/>
  </r>
  <r>
    <s v="April-A34"/>
    <d v="2021-04-26T00:00:00"/>
    <x v="2"/>
    <s v="Fish"/>
    <x v="13"/>
    <m/>
    <n v="10539"/>
  </r>
  <r>
    <s v="April-A35"/>
    <d v="2021-04-27T00:00:00"/>
    <x v="2"/>
    <s v="Milk"/>
    <x v="3"/>
    <m/>
    <n v="10077"/>
  </r>
  <r>
    <s v="April-A36"/>
    <d v="2021-04-27T00:00:00"/>
    <x v="4"/>
    <s v="Id Card Lamination"/>
    <x v="30"/>
    <m/>
    <n v="10017"/>
  </r>
  <r>
    <s v="April-A37"/>
    <d v="2021-04-30T00:00:00"/>
    <x v="1"/>
    <s v="Dish Recharge"/>
    <x v="31"/>
    <m/>
    <n v="9737"/>
  </r>
  <r>
    <s v="April-A38"/>
    <d v="2021-04-30T00:00:00"/>
    <x v="6"/>
    <s v="Road Sketch"/>
    <x v="32"/>
    <m/>
    <n v="9464"/>
  </r>
  <r>
    <s v="April-B1"/>
    <d v="2021-04-03T00:00:00"/>
    <x v="9"/>
    <s v="Jayalaxmi Silks"/>
    <x v="0"/>
    <n v="5000"/>
    <n v="14464"/>
  </r>
  <r>
    <s v="April-B2"/>
    <d v="2021-04-05T00:00:00"/>
    <x v="10"/>
    <s v="Cheque Issue"/>
    <x v="33"/>
    <m/>
    <n v="14228"/>
  </r>
  <r>
    <s v="April-B3"/>
    <d v="2021-04-06T00:00:00"/>
    <x v="3"/>
    <s v="Petty Cash"/>
    <x v="34"/>
    <m/>
    <n v="-772"/>
  </r>
  <r>
    <s v="April-B4"/>
    <d v="2021-04-06T00:00:00"/>
    <x v="11"/>
    <s v="Prasad Kumar"/>
    <x v="35"/>
    <m/>
    <n v="-4999"/>
  </r>
  <r>
    <s v="April-B5"/>
    <d v="2021-04-07T00:00:00"/>
    <x v="12"/>
    <s v="Lalitha"/>
    <x v="36"/>
    <m/>
    <n v="-11749"/>
  </r>
  <r>
    <s v="April-B6"/>
    <d v="2021-04-07T00:00:00"/>
    <x v="12"/>
    <s v="Vinoda"/>
    <x v="37"/>
    <m/>
    <n v="-16999"/>
  </r>
  <r>
    <s v="April-B7"/>
    <d v="2021-04-08T00:00:00"/>
    <x v="10"/>
    <s v="Cheque Issue"/>
    <x v="38"/>
    <m/>
    <n v="-17117"/>
  </r>
  <r>
    <s v="April-B8"/>
    <d v="2021-04-15T00:00:00"/>
    <x v="9"/>
    <s v="Anuroop Reddy"/>
    <x v="0"/>
    <n v="4000"/>
    <n v="-13117"/>
  </r>
  <r>
    <s v="April-B9"/>
    <d v="2021-04-15T00:00:00"/>
    <x v="9"/>
    <s v="Naveen Raj"/>
    <x v="0"/>
    <n v="9000"/>
    <n v="-4117"/>
  </r>
  <r>
    <s v="April-B10"/>
    <d v="2021-04-16T00:00:00"/>
    <x v="12"/>
    <s v="Namrutha Raj Suvarna"/>
    <x v="39"/>
    <m/>
    <n v="-11617"/>
  </r>
  <r>
    <s v="April-B11"/>
    <d v="2021-04-16T00:00:00"/>
    <x v="3"/>
    <s v="Petty Cash"/>
    <x v="40"/>
    <m/>
    <n v="-21617"/>
  </r>
  <r>
    <s v="April-B12"/>
    <d v="2021-04-16T00:00:00"/>
    <x v="13"/>
    <s v="Harish Kumar"/>
    <x v="41"/>
    <m/>
    <n v="-39117"/>
  </r>
  <r>
    <s v="April-B13"/>
    <d v="2021-04-16T00:00:00"/>
    <x v="12"/>
    <s v="Geetha"/>
    <x v="42"/>
    <m/>
    <n v="-52167"/>
  </r>
  <r>
    <s v="April-B14"/>
    <d v="2021-04-16T00:00:00"/>
    <x v="12"/>
    <s v="Crystal Melissa Mendonca"/>
    <x v="43"/>
    <m/>
    <n v="-61167"/>
  </r>
  <r>
    <s v="April-B15"/>
    <d v="2021-04-20T00:00:00"/>
    <x v="9"/>
    <s v="Joel Dsilva"/>
    <x v="0"/>
    <n v="10000"/>
    <n v="-51167"/>
  </r>
  <r>
    <s v="April-B16"/>
    <d v="2021-04-21T00:00:00"/>
    <x v="11"/>
    <s v="Prasad Kumar"/>
    <x v="44"/>
    <m/>
    <n v="-55599"/>
  </r>
  <r>
    <s v="April-B17"/>
    <d v="2021-04-26T00:00:00"/>
    <x v="9"/>
    <s v="Sithara Nishanth"/>
    <x v="0"/>
    <n v="1500"/>
    <n v="-54099"/>
  </r>
  <r>
    <s v="April-B18"/>
    <d v="2021-04-27T00:00:00"/>
    <x v="9"/>
    <s v="Padmanabha Shenoy"/>
    <x v="0"/>
    <n v="5000"/>
    <n v="-49099"/>
  </r>
  <r>
    <s v="April-B19"/>
    <d v="2021-04-30T00:00:00"/>
    <x v="9"/>
    <s v="Dobin Fernandes"/>
    <x v="0"/>
    <n v="2500"/>
    <n v="-46599"/>
  </r>
  <r>
    <s v="April-C1"/>
    <d v="2021-04-01T00:00:00"/>
    <x v="9"/>
    <s v="Exotic floor shop"/>
    <x v="0"/>
    <n v="25000"/>
    <n v="-21599"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  <r>
    <m/>
    <m/>
    <x v="14"/>
    <m/>
    <x v="0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0">
  <r>
    <s v="March-A0"/>
    <d v="2021-08-01T00:00:00"/>
    <x v="0"/>
    <m/>
    <x v="0"/>
    <m/>
    <n v="60000"/>
  </r>
  <r>
    <s v="March-A1"/>
    <d v="2021-04-01T00:00:00"/>
    <x v="1"/>
    <s v="Paper Bill"/>
    <x v="1"/>
    <m/>
    <n v="59825"/>
  </r>
  <r>
    <s v="March-A2"/>
    <d v="2021-04-06T00:00:00"/>
    <x v="1"/>
    <s v="Gas Filling"/>
    <x v="2"/>
    <m/>
    <n v="58185"/>
  </r>
  <r>
    <s v="March-B0"/>
    <d v="2021-08-01T00:00:00"/>
    <x v="0"/>
    <m/>
    <x v="0"/>
    <m/>
    <n v="60000"/>
  </r>
  <r>
    <s v="March-B1"/>
    <d v="2021-04-16T00:00:00"/>
    <x v="2"/>
    <s v="Harish Kumar"/>
    <x v="3"/>
    <m/>
    <n v="42500"/>
  </r>
  <r>
    <s v="March-B2"/>
    <d v="2021-04-16T00:00:00"/>
    <x v="3"/>
    <s v="Geetha"/>
    <x v="4"/>
    <m/>
    <n v="29450"/>
  </r>
  <r>
    <s v="March-C0"/>
    <d v="2021-08-01T00:00:00"/>
    <x v="0"/>
    <m/>
    <x v="0"/>
    <m/>
    <n v="60000"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  <r>
    <m/>
    <m/>
    <x v="4"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9951B-932C-4687-B7CB-DE141EA7FF12}" name="IciPivot" cacheId="2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G3:H8" firstHeaderRow="1" firstDataRow="1" firstDataCol="1"/>
  <pivotFields count="7">
    <pivotField showAll="0"/>
    <pivotField showAll="0"/>
    <pivotField axis="axisRow" showAll="0">
      <items count="5">
        <item x="1"/>
        <item x="2"/>
        <item x="0"/>
        <item x="3"/>
        <item t="default"/>
      </items>
    </pivotField>
    <pivotField showAll="0"/>
    <pivotField dataField="1" showAll="0">
      <items count="2">
        <item x="0"/>
        <item t="default"/>
      </items>
    </pivotField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Expenses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D333D9-6D4C-4C96-9392-51797C9385D7}" name="CorpPivot" cacheId="1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D3:E15" firstHeaderRow="1" firstDataRow="1" firstDataCol="1"/>
  <pivotFields count="7">
    <pivotField showAll="0"/>
    <pivotField showAll="0"/>
    <pivotField axis="axisRow" showAll="0">
      <items count="12">
        <item x="7"/>
        <item x="2"/>
        <item x="1"/>
        <item x="8"/>
        <item x="0"/>
        <item x="4"/>
        <item x="6"/>
        <item x="5"/>
        <item x="9"/>
        <item x="3"/>
        <item x="10"/>
        <item t="default"/>
      </items>
    </pivotField>
    <pivotField showAll="0"/>
    <pivotField dataField="1" showAll="0">
      <items count="30">
        <item x="14"/>
        <item x="25"/>
        <item x="20"/>
        <item x="6"/>
        <item x="1"/>
        <item x="15"/>
        <item x="16"/>
        <item x="24"/>
        <item x="3"/>
        <item x="12"/>
        <item x="23"/>
        <item x="27"/>
        <item x="5"/>
        <item x="13"/>
        <item x="22"/>
        <item x="18"/>
        <item x="4"/>
        <item x="7"/>
        <item x="19"/>
        <item x="21"/>
        <item x="11"/>
        <item x="8"/>
        <item x="17"/>
        <item x="10"/>
        <item x="28"/>
        <item x="2"/>
        <item x="9"/>
        <item x="26"/>
        <item x="0"/>
        <item t="default"/>
      </items>
    </pivotField>
    <pivotField showAll="0"/>
    <pivotField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Expenses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F9E74A-D73A-4710-847C-34823B052A79}" name="PettyPivot" cacheId="1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B16" firstHeaderRow="1" firstDataRow="1" firstDataCol="1"/>
  <pivotFields count="7">
    <pivotField showAll="0"/>
    <pivotField showAll="0"/>
    <pivotField axis="axisRow" showAll="0">
      <items count="13">
        <item x="10"/>
        <item x="2"/>
        <item x="6"/>
        <item x="7"/>
        <item x="0"/>
        <item x="8"/>
        <item x="9"/>
        <item x="4"/>
        <item x="5"/>
        <item x="1"/>
        <item x="3"/>
        <item x="11"/>
        <item t="default"/>
      </items>
    </pivotField>
    <pivotField showAll="0"/>
    <pivotField dataField="1" showAll="0">
      <items count="51">
        <item x="10"/>
        <item x="27"/>
        <item x="38"/>
        <item x="30"/>
        <item x="17"/>
        <item x="8"/>
        <item x="25"/>
        <item x="16"/>
        <item x="6"/>
        <item x="20"/>
        <item x="43"/>
        <item x="11"/>
        <item x="33"/>
        <item x="1"/>
        <item x="37"/>
        <item x="13"/>
        <item x="45"/>
        <item x="4"/>
        <item x="36"/>
        <item x="35"/>
        <item x="32"/>
        <item x="31"/>
        <item x="48"/>
        <item x="49"/>
        <item x="34"/>
        <item x="22"/>
        <item x="9"/>
        <item x="21"/>
        <item x="3"/>
        <item x="15"/>
        <item x="29"/>
        <item x="2"/>
        <item x="41"/>
        <item x="40"/>
        <item x="28"/>
        <item x="23"/>
        <item x="14"/>
        <item x="26"/>
        <item x="7"/>
        <item x="47"/>
        <item x="12"/>
        <item x="44"/>
        <item x="5"/>
        <item x="19"/>
        <item x="46"/>
        <item x="18"/>
        <item x="24"/>
        <item x="39"/>
        <item x="42"/>
        <item x="0"/>
        <item t="default"/>
      </items>
    </pivotField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Expenses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17EA5-A05C-4D61-AE34-D95C5096ADC0}" name="FinalPivot" cacheId="2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G3:H20" firstHeaderRow="1" firstDataRow="1" firstDataCol="1"/>
  <pivotFields count="2">
    <pivotField axis="axisRow" showAll="0">
      <items count="19">
        <item x="9"/>
        <item x="10"/>
        <item x="0"/>
        <item x="1"/>
        <item x="11"/>
        <item x="2"/>
        <item x="3"/>
        <item x="4"/>
        <item x="12"/>
        <item x="13"/>
        <item x="5"/>
        <item x="14"/>
        <item x="15"/>
        <item x="6"/>
        <item x="7"/>
        <item x="8"/>
        <item h="1" x="16"/>
        <item h="1" x="17"/>
        <item t="default"/>
      </items>
    </pivotField>
    <pivotField dataField="1" showAll="0">
      <items count="19">
        <item x="4"/>
        <item x="3"/>
        <item x="5"/>
        <item x="10"/>
        <item x="6"/>
        <item x="9"/>
        <item x="2"/>
        <item x="7"/>
        <item x="1"/>
        <item x="0"/>
        <item x="12"/>
        <item x="15"/>
        <item x="8"/>
        <item x="11"/>
        <item x="16"/>
        <item x="13"/>
        <item x="14"/>
        <item x="17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" fld="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F03255-F15E-4A70-BBB9-964BF08455C3}" name="Closepivot" cacheId="4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V2:W6" firstHeaderRow="1" firstDataRow="1" firstDataCol="1"/>
  <pivotFields count="7">
    <pivotField showAll="0"/>
    <pivotField showAll="0"/>
    <pivotField axis="axisRow" showAll="0">
      <items count="6">
        <item h="1" x="0"/>
        <item x="2"/>
        <item x="3"/>
        <item x="1"/>
        <item h="1" x="4"/>
        <item t="default"/>
      </items>
    </pivotField>
    <pivotField showAll="0"/>
    <pivotField dataField="1" showAll="0">
      <items count="6">
        <item x="1"/>
        <item x="2"/>
        <item x="4"/>
        <item x="3"/>
        <item x="0"/>
        <item t="default"/>
      </items>
    </pivotField>
    <pivotField showAll="0"/>
    <pivotField showAll="0"/>
  </pivotFields>
  <rowFields count="1">
    <field x="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Expenses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885AF-0256-484C-84AF-B8F79D630E1C}" name="Openpivot" cacheId="4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S2:T6" firstHeaderRow="1" firstDataRow="1" firstDataCol="1"/>
  <pivotFields count="7">
    <pivotField showAll="0"/>
    <pivotField showAll="0"/>
    <pivotField axis="axisRow" showAll="0">
      <items count="16">
        <item h="1" x="10"/>
        <item h="1" x="9"/>
        <item h="1" x="2"/>
        <item h="1" x="6"/>
        <item h="1" x="7"/>
        <item h="1" x="0"/>
        <item h="1" x="8"/>
        <item h="1" x="11"/>
        <item x="13"/>
        <item x="12"/>
        <item h="1" x="4"/>
        <item h="1" x="5"/>
        <item x="1"/>
        <item h="1" x="3"/>
        <item h="1" x="14"/>
        <item t="default"/>
      </items>
    </pivotField>
    <pivotField showAll="0"/>
    <pivotField dataField="1" showAll="0">
      <items count="46">
        <item x="10"/>
        <item x="27"/>
        <item x="30"/>
        <item x="17"/>
        <item x="8"/>
        <item x="25"/>
        <item x="16"/>
        <item x="38"/>
        <item x="6"/>
        <item x="20"/>
        <item x="11"/>
        <item x="1"/>
        <item x="13"/>
        <item x="4"/>
        <item x="33"/>
        <item x="32"/>
        <item x="31"/>
        <item x="22"/>
        <item x="9"/>
        <item x="21"/>
        <item x="3"/>
        <item x="15"/>
        <item x="29"/>
        <item x="2"/>
        <item x="28"/>
        <item x="23"/>
        <item x="14"/>
        <item x="26"/>
        <item x="7"/>
        <item x="12"/>
        <item x="5"/>
        <item x="19"/>
        <item x="18"/>
        <item x="24"/>
        <item x="35"/>
        <item x="44"/>
        <item x="37"/>
        <item x="36"/>
        <item x="39"/>
        <item x="43"/>
        <item x="40"/>
        <item x="42"/>
        <item x="34"/>
        <item x="41"/>
        <item x="0"/>
        <item t="default"/>
      </items>
    </pivotField>
    <pivotField showAll="0"/>
    <pivotField showAll="0"/>
  </pivotFields>
  <rowFields count="1">
    <field x="2"/>
  </rowFields>
  <rowItems count="4">
    <i>
      <x v="8"/>
    </i>
    <i>
      <x v="9"/>
    </i>
    <i>
      <x v="12"/>
    </i>
    <i t="grand">
      <x/>
    </i>
  </rowItems>
  <colItems count="1">
    <i/>
  </colItems>
  <dataFields count="1">
    <dataField name="Sum of Expenses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42"/>
  <sheetViews>
    <sheetView topLeftCell="C1" workbookViewId="0">
      <selection activeCell="A9" sqref="A9:G9"/>
    </sheetView>
  </sheetViews>
  <sheetFormatPr defaultRowHeight="14.4" x14ac:dyDescent="0.3"/>
  <cols>
    <col min="2" max="2" width="11.33203125" style="9" customWidth="1"/>
    <col min="3" max="3" width="19.77734375" bestFit="1" customWidth="1"/>
    <col min="4" max="4" width="11.21875" customWidth="1"/>
    <col min="5" max="5" width="8.44140625" bestFit="1" customWidth="1"/>
    <col min="12" max="12" width="10.33203125" bestFit="1" customWidth="1"/>
    <col min="13" max="13" width="28.5546875" bestFit="1" customWidth="1"/>
    <col min="14" max="14" width="22.5546875" bestFit="1" customWidth="1"/>
    <col min="22" max="22" width="10.33203125" bestFit="1" customWidth="1"/>
    <col min="23" max="23" width="28.5546875" bestFit="1" customWidth="1"/>
    <col min="24" max="24" width="14.88671875" bestFit="1" customWidth="1"/>
  </cols>
  <sheetData>
    <row r="1" spans="1:29" ht="15" thickBot="1" x14ac:dyDescent="0.35">
      <c r="A1" s="4"/>
      <c r="B1" s="5"/>
      <c r="C1" s="5" t="s">
        <v>7</v>
      </c>
      <c r="D1" s="5"/>
      <c r="E1" s="5"/>
      <c r="F1" s="5"/>
      <c r="G1" s="6"/>
      <c r="K1" s="4"/>
      <c r="L1" s="5"/>
      <c r="M1" s="5" t="s">
        <v>7</v>
      </c>
      <c r="N1" s="5"/>
      <c r="O1" s="5"/>
      <c r="P1" s="5"/>
      <c r="Q1" s="6"/>
      <c r="U1" s="1"/>
      <c r="V1" s="2"/>
      <c r="W1" s="2" t="s">
        <v>7</v>
      </c>
      <c r="X1" s="2"/>
      <c r="Y1" s="2"/>
      <c r="Z1" s="2"/>
      <c r="AA1" s="3"/>
    </row>
    <row r="2" spans="1:29" ht="15" thickBot="1" x14ac:dyDescent="0.35">
      <c r="A2" s="4" t="s">
        <v>0</v>
      </c>
      <c r="B2" s="28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9" ht="15" thickBot="1" x14ac:dyDescent="0.35">
      <c r="A3" t="s">
        <v>337</v>
      </c>
      <c r="B3" s="9">
        <v>44287</v>
      </c>
      <c r="C3" t="s">
        <v>8</v>
      </c>
      <c r="G3">
        <v>2514</v>
      </c>
      <c r="K3" t="s">
        <v>338</v>
      </c>
      <c r="L3" s="9">
        <v>44287</v>
      </c>
      <c r="M3" t="s">
        <v>8</v>
      </c>
      <c r="Q3">
        <v>166078.70000000001</v>
      </c>
      <c r="U3" t="s">
        <v>339</v>
      </c>
      <c r="V3" s="9">
        <v>44287</v>
      </c>
      <c r="W3" t="s">
        <v>8</v>
      </c>
      <c r="AA3">
        <v>29791.5</v>
      </c>
    </row>
    <row r="4" spans="1:29" ht="15.6" thickTop="1" thickBot="1" x14ac:dyDescent="0.35">
      <c r="A4" t="s">
        <v>195</v>
      </c>
      <c r="B4" s="9">
        <v>44287</v>
      </c>
      <c r="C4" t="s">
        <v>13</v>
      </c>
      <c r="D4" t="s">
        <v>14</v>
      </c>
      <c r="E4">
        <v>175</v>
      </c>
      <c r="G4">
        <f>G3+F4-E4</f>
        <v>2339</v>
      </c>
      <c r="K4" t="s">
        <v>233</v>
      </c>
      <c r="L4" s="9">
        <v>44289</v>
      </c>
      <c r="M4" t="s">
        <v>9</v>
      </c>
      <c r="N4" t="s">
        <v>10</v>
      </c>
      <c r="P4">
        <v>5000</v>
      </c>
      <c r="Q4">
        <f>Q3+P4-O4</f>
        <v>171078.7</v>
      </c>
      <c r="U4" t="s">
        <v>252</v>
      </c>
      <c r="V4" s="9">
        <v>44287</v>
      </c>
      <c r="W4" t="s">
        <v>9</v>
      </c>
      <c r="X4" t="s">
        <v>77</v>
      </c>
      <c r="Z4">
        <v>25000</v>
      </c>
      <c r="AA4">
        <f>AA3+Z4-Y4</f>
        <v>54791.5</v>
      </c>
      <c r="AB4" s="29" t="s">
        <v>3</v>
      </c>
      <c r="AC4" s="30">
        <f>SUM(Y4)</f>
        <v>0</v>
      </c>
    </row>
    <row r="5" spans="1:29" ht="15.6" thickTop="1" thickBot="1" x14ac:dyDescent="0.35">
      <c r="A5" t="s">
        <v>196</v>
      </c>
      <c r="B5" s="9">
        <v>44291</v>
      </c>
      <c r="C5" t="s">
        <v>15</v>
      </c>
      <c r="D5" t="s">
        <v>16</v>
      </c>
      <c r="E5">
        <v>530</v>
      </c>
      <c r="G5">
        <f t="shared" ref="G5:G41" si="0">G4+F5-E5</f>
        <v>1809</v>
      </c>
      <c r="K5" t="s">
        <v>234</v>
      </c>
      <c r="L5" s="9">
        <v>44291</v>
      </c>
      <c r="M5" t="s">
        <v>11</v>
      </c>
      <c r="N5" t="s">
        <v>12</v>
      </c>
      <c r="O5">
        <v>236</v>
      </c>
      <c r="Q5">
        <f t="shared" ref="Q5:Q22" si="1">Q4+P5-O5</f>
        <v>170842.7</v>
      </c>
      <c r="AB5" s="29" t="s">
        <v>4</v>
      </c>
      <c r="AC5" s="30">
        <f>SUM(Z4)</f>
        <v>25000</v>
      </c>
    </row>
    <row r="6" spans="1:29" ht="15.6" thickTop="1" thickBot="1" x14ac:dyDescent="0.35">
      <c r="A6" s="11" t="s">
        <v>197</v>
      </c>
      <c r="B6" s="12">
        <v>44292</v>
      </c>
      <c r="C6" s="11" t="s">
        <v>17</v>
      </c>
      <c r="D6" s="11" t="s">
        <v>18</v>
      </c>
      <c r="E6" s="11"/>
      <c r="F6" s="11">
        <v>15000</v>
      </c>
      <c r="G6" s="11">
        <f t="shared" si="0"/>
        <v>16809</v>
      </c>
      <c r="K6" s="11" t="s">
        <v>235</v>
      </c>
      <c r="L6" s="12">
        <v>44292</v>
      </c>
      <c r="M6" s="11" t="s">
        <v>17</v>
      </c>
      <c r="N6" s="11" t="s">
        <v>18</v>
      </c>
      <c r="O6" s="11">
        <v>15000</v>
      </c>
      <c r="P6" s="11"/>
      <c r="Q6" s="11">
        <f t="shared" si="1"/>
        <v>155842.70000000001</v>
      </c>
      <c r="AB6" s="29" t="s">
        <v>5</v>
      </c>
      <c r="AC6" s="30">
        <f>AC5-AC4+AA3</f>
        <v>54791.5</v>
      </c>
    </row>
    <row r="7" spans="1:29" ht="15" thickTop="1" x14ac:dyDescent="0.3">
      <c r="A7" t="s">
        <v>198</v>
      </c>
      <c r="B7" s="9">
        <v>44292</v>
      </c>
      <c r="C7" t="s">
        <v>15</v>
      </c>
      <c r="D7" t="s">
        <v>19</v>
      </c>
      <c r="E7">
        <v>462</v>
      </c>
      <c r="G7">
        <f t="shared" si="0"/>
        <v>16347</v>
      </c>
      <c r="K7" t="s">
        <v>236</v>
      </c>
      <c r="L7" s="9">
        <v>44292</v>
      </c>
      <c r="M7" t="s">
        <v>58</v>
      </c>
      <c r="N7" t="s">
        <v>59</v>
      </c>
      <c r="O7">
        <v>4227</v>
      </c>
      <c r="Q7">
        <f t="shared" si="1"/>
        <v>151615.70000000001</v>
      </c>
    </row>
    <row r="8" spans="1:29" x14ac:dyDescent="0.3">
      <c r="A8" t="s">
        <v>199</v>
      </c>
      <c r="B8" s="9">
        <v>44292</v>
      </c>
      <c r="C8" t="s">
        <v>20</v>
      </c>
      <c r="D8" t="s">
        <v>21</v>
      </c>
      <c r="E8">
        <v>220</v>
      </c>
      <c r="G8">
        <f t="shared" si="0"/>
        <v>16127</v>
      </c>
      <c r="K8" t="s">
        <v>237</v>
      </c>
      <c r="L8" s="9">
        <v>44293</v>
      </c>
      <c r="M8" t="s">
        <v>60</v>
      </c>
      <c r="N8" t="s">
        <v>61</v>
      </c>
      <c r="O8">
        <v>6750</v>
      </c>
      <c r="Q8">
        <f t="shared" si="1"/>
        <v>144865.70000000001</v>
      </c>
    </row>
    <row r="9" spans="1:29" x14ac:dyDescent="0.3">
      <c r="A9" t="s">
        <v>200</v>
      </c>
      <c r="B9" s="9">
        <v>44292</v>
      </c>
      <c r="C9" t="s">
        <v>13</v>
      </c>
      <c r="D9" t="s">
        <v>22</v>
      </c>
      <c r="E9">
        <v>1640</v>
      </c>
      <c r="G9">
        <f t="shared" si="0"/>
        <v>14487</v>
      </c>
      <c r="K9" t="s">
        <v>238</v>
      </c>
      <c r="L9" s="9">
        <v>44293</v>
      </c>
      <c r="M9" t="s">
        <v>60</v>
      </c>
      <c r="N9" t="s">
        <v>62</v>
      </c>
      <c r="O9">
        <v>5250</v>
      </c>
      <c r="Q9">
        <f t="shared" si="1"/>
        <v>139615.70000000001</v>
      </c>
    </row>
    <row r="10" spans="1:29" x14ac:dyDescent="0.3">
      <c r="A10" t="s">
        <v>201</v>
      </c>
      <c r="B10" s="9">
        <v>44292</v>
      </c>
      <c r="C10" t="s">
        <v>23</v>
      </c>
      <c r="D10" t="s">
        <v>24</v>
      </c>
      <c r="E10">
        <v>120</v>
      </c>
      <c r="G10">
        <f t="shared" si="0"/>
        <v>14367</v>
      </c>
      <c r="K10" t="s">
        <v>239</v>
      </c>
      <c r="L10" s="9">
        <v>44294</v>
      </c>
      <c r="M10" t="s">
        <v>11</v>
      </c>
      <c r="N10" t="s">
        <v>12</v>
      </c>
      <c r="O10">
        <v>118</v>
      </c>
      <c r="Q10">
        <f t="shared" si="1"/>
        <v>139497.70000000001</v>
      </c>
    </row>
    <row r="11" spans="1:29" x14ac:dyDescent="0.3">
      <c r="A11" t="s">
        <v>202</v>
      </c>
      <c r="B11" s="9">
        <v>44293</v>
      </c>
      <c r="C11" t="s">
        <v>23</v>
      </c>
      <c r="D11" t="s">
        <v>25</v>
      </c>
      <c r="E11">
        <v>780</v>
      </c>
      <c r="G11">
        <f t="shared" si="0"/>
        <v>13587</v>
      </c>
      <c r="K11" t="s">
        <v>240</v>
      </c>
      <c r="L11" s="9">
        <v>44301</v>
      </c>
      <c r="M11" t="s">
        <v>9</v>
      </c>
      <c r="N11" t="s">
        <v>64</v>
      </c>
      <c r="P11">
        <v>4000</v>
      </c>
      <c r="Q11">
        <f t="shared" si="1"/>
        <v>143497.70000000001</v>
      </c>
    </row>
    <row r="12" spans="1:29" x14ac:dyDescent="0.3">
      <c r="A12" t="s">
        <v>203</v>
      </c>
      <c r="B12" s="9">
        <v>44293</v>
      </c>
      <c r="C12" t="s">
        <v>20</v>
      </c>
      <c r="D12" t="s">
        <v>26</v>
      </c>
      <c r="E12">
        <v>78</v>
      </c>
      <c r="G12">
        <f t="shared" si="0"/>
        <v>13509</v>
      </c>
      <c r="K12" t="s">
        <v>241</v>
      </c>
      <c r="L12" s="9">
        <v>44301</v>
      </c>
      <c r="M12" t="s">
        <v>9</v>
      </c>
      <c r="N12" t="s">
        <v>65</v>
      </c>
      <c r="P12">
        <v>9000</v>
      </c>
      <c r="Q12">
        <f t="shared" si="1"/>
        <v>152497.70000000001</v>
      </c>
    </row>
    <row r="13" spans="1:29" x14ac:dyDescent="0.3">
      <c r="A13" t="s">
        <v>204</v>
      </c>
      <c r="B13" s="9">
        <v>44294</v>
      </c>
      <c r="C13" t="s">
        <v>23</v>
      </c>
      <c r="D13" t="s">
        <v>27</v>
      </c>
      <c r="E13">
        <v>391</v>
      </c>
      <c r="G13">
        <f t="shared" si="0"/>
        <v>13118</v>
      </c>
      <c r="K13" t="s">
        <v>242</v>
      </c>
      <c r="L13" s="9">
        <v>44302</v>
      </c>
      <c r="M13" t="s">
        <v>60</v>
      </c>
      <c r="N13" t="s">
        <v>67</v>
      </c>
      <c r="O13">
        <v>7500</v>
      </c>
      <c r="Q13">
        <f t="shared" si="1"/>
        <v>144997.70000000001</v>
      </c>
    </row>
    <row r="14" spans="1:29" x14ac:dyDescent="0.3">
      <c r="A14" t="s">
        <v>205</v>
      </c>
      <c r="B14" s="9">
        <v>44294</v>
      </c>
      <c r="C14" t="s">
        <v>20</v>
      </c>
      <c r="D14" t="s">
        <v>28</v>
      </c>
      <c r="E14">
        <v>20</v>
      </c>
      <c r="G14">
        <f t="shared" si="0"/>
        <v>13098</v>
      </c>
      <c r="K14" s="11" t="s">
        <v>243</v>
      </c>
      <c r="L14" s="12">
        <v>44302</v>
      </c>
      <c r="M14" s="11" t="s">
        <v>17</v>
      </c>
      <c r="N14" s="11" t="s">
        <v>18</v>
      </c>
      <c r="O14" s="11">
        <v>10000</v>
      </c>
      <c r="P14" s="11"/>
      <c r="Q14" s="11">
        <f t="shared" si="1"/>
        <v>134997.70000000001</v>
      </c>
    </row>
    <row r="15" spans="1:29" x14ac:dyDescent="0.3">
      <c r="A15" t="s">
        <v>206</v>
      </c>
      <c r="B15" s="9">
        <v>44294</v>
      </c>
      <c r="C15" t="s">
        <v>15</v>
      </c>
      <c r="D15" t="s">
        <v>16</v>
      </c>
      <c r="E15">
        <v>167</v>
      </c>
      <c r="G15">
        <f t="shared" si="0"/>
        <v>12931</v>
      </c>
      <c r="K15" t="s">
        <v>244</v>
      </c>
      <c r="L15" s="9">
        <v>44302</v>
      </c>
      <c r="M15" t="s">
        <v>69</v>
      </c>
      <c r="N15" t="s">
        <v>70</v>
      </c>
      <c r="O15">
        <v>17500</v>
      </c>
      <c r="Q15">
        <f t="shared" si="1"/>
        <v>117497.70000000001</v>
      </c>
    </row>
    <row r="16" spans="1:29" x14ac:dyDescent="0.3">
      <c r="A16" t="s">
        <v>207</v>
      </c>
      <c r="B16" s="9">
        <v>44294</v>
      </c>
      <c r="C16" t="s">
        <v>20</v>
      </c>
      <c r="D16" t="s">
        <v>29</v>
      </c>
      <c r="E16">
        <v>900</v>
      </c>
      <c r="G16">
        <f t="shared" si="0"/>
        <v>12031</v>
      </c>
      <c r="K16" t="s">
        <v>245</v>
      </c>
      <c r="L16" s="9">
        <v>44302</v>
      </c>
      <c r="M16" t="s">
        <v>60</v>
      </c>
      <c r="N16" t="s">
        <v>68</v>
      </c>
      <c r="O16">
        <v>13050</v>
      </c>
      <c r="Q16">
        <f t="shared" si="1"/>
        <v>104447.70000000001</v>
      </c>
    </row>
    <row r="17" spans="1:19" x14ac:dyDescent="0.3">
      <c r="A17" t="s">
        <v>208</v>
      </c>
      <c r="B17" s="9">
        <v>44294</v>
      </c>
      <c r="C17" t="s">
        <v>15</v>
      </c>
      <c r="D17" t="s">
        <v>30</v>
      </c>
      <c r="E17">
        <v>200</v>
      </c>
      <c r="G17">
        <f t="shared" si="0"/>
        <v>11831</v>
      </c>
      <c r="K17" t="s">
        <v>246</v>
      </c>
      <c r="L17" s="9">
        <v>44302</v>
      </c>
      <c r="M17" t="s">
        <v>60</v>
      </c>
      <c r="N17" t="s">
        <v>71</v>
      </c>
      <c r="O17">
        <v>9000</v>
      </c>
      <c r="Q17">
        <f t="shared" si="1"/>
        <v>95447.700000000012</v>
      </c>
    </row>
    <row r="18" spans="1:19" ht="15" thickBot="1" x14ac:dyDescent="0.35">
      <c r="A18" t="s">
        <v>209</v>
      </c>
      <c r="B18" s="9">
        <v>44298</v>
      </c>
      <c r="C18" t="s">
        <v>15</v>
      </c>
      <c r="D18" t="s">
        <v>31</v>
      </c>
      <c r="E18">
        <v>630</v>
      </c>
      <c r="G18">
        <f t="shared" si="0"/>
        <v>11201</v>
      </c>
      <c r="K18" t="s">
        <v>247</v>
      </c>
      <c r="L18" s="9">
        <v>44306</v>
      </c>
      <c r="M18" t="s">
        <v>9</v>
      </c>
      <c r="N18" t="s">
        <v>73</v>
      </c>
      <c r="P18">
        <v>10000</v>
      </c>
      <c r="Q18">
        <f t="shared" si="1"/>
        <v>105447.70000000001</v>
      </c>
    </row>
    <row r="19" spans="1:19" ht="15.6" thickTop="1" thickBot="1" x14ac:dyDescent="0.35">
      <c r="A19" t="s">
        <v>210</v>
      </c>
      <c r="B19" s="9">
        <v>44298</v>
      </c>
      <c r="C19" t="s">
        <v>32</v>
      </c>
      <c r="D19" t="s">
        <v>33</v>
      </c>
      <c r="E19">
        <v>500</v>
      </c>
      <c r="G19">
        <f t="shared" si="0"/>
        <v>10701</v>
      </c>
      <c r="K19" t="s">
        <v>248</v>
      </c>
      <c r="L19" s="9">
        <v>44307</v>
      </c>
      <c r="M19" t="s">
        <v>58</v>
      </c>
      <c r="N19" t="s">
        <v>59</v>
      </c>
      <c r="O19">
        <v>4432</v>
      </c>
      <c r="Q19">
        <f t="shared" si="1"/>
        <v>101015.70000000001</v>
      </c>
      <c r="R19" s="29" t="s">
        <v>3</v>
      </c>
      <c r="S19" s="30">
        <f>SUM(O4:O22)</f>
        <v>93063</v>
      </c>
    </row>
    <row r="20" spans="1:19" ht="15.6" thickTop="1" thickBot="1" x14ac:dyDescent="0.35">
      <c r="A20" t="s">
        <v>211</v>
      </c>
      <c r="B20" s="9">
        <v>44298</v>
      </c>
      <c r="C20" t="s">
        <v>34</v>
      </c>
      <c r="D20" t="s">
        <v>35</v>
      </c>
      <c r="E20">
        <v>112</v>
      </c>
      <c r="G20">
        <f t="shared" si="0"/>
        <v>10589</v>
      </c>
      <c r="K20" t="s">
        <v>249</v>
      </c>
      <c r="L20" s="9">
        <v>44312</v>
      </c>
      <c r="M20" t="s">
        <v>9</v>
      </c>
      <c r="N20" t="s">
        <v>76</v>
      </c>
      <c r="P20">
        <v>1500</v>
      </c>
      <c r="Q20">
        <f t="shared" si="1"/>
        <v>102515.70000000001</v>
      </c>
      <c r="R20" s="29" t="s">
        <v>4</v>
      </c>
      <c r="S20" s="30">
        <f>SUM(P4:P22)</f>
        <v>37000</v>
      </c>
    </row>
    <row r="21" spans="1:19" ht="15.6" thickTop="1" thickBot="1" x14ac:dyDescent="0.35">
      <c r="A21" t="s">
        <v>212</v>
      </c>
      <c r="B21" s="9">
        <v>44298</v>
      </c>
      <c r="C21" t="s">
        <v>15</v>
      </c>
      <c r="D21" t="s">
        <v>19</v>
      </c>
      <c r="E21">
        <v>462</v>
      </c>
      <c r="G21">
        <f t="shared" si="0"/>
        <v>10127</v>
      </c>
      <c r="K21" t="s">
        <v>250</v>
      </c>
      <c r="L21" s="9">
        <v>44313</v>
      </c>
      <c r="M21" t="s">
        <v>9</v>
      </c>
      <c r="N21" t="s">
        <v>79</v>
      </c>
      <c r="P21">
        <v>5000</v>
      </c>
      <c r="Q21">
        <f t="shared" si="1"/>
        <v>107515.70000000001</v>
      </c>
      <c r="R21" s="29" t="s">
        <v>5</v>
      </c>
      <c r="S21" s="30">
        <f>S20-S19+Q3</f>
        <v>110015.70000000001</v>
      </c>
    </row>
    <row r="22" spans="1:19" ht="15" thickTop="1" x14ac:dyDescent="0.3">
      <c r="A22" t="s">
        <v>213</v>
      </c>
      <c r="B22" s="9">
        <v>44298</v>
      </c>
      <c r="C22" t="s">
        <v>15</v>
      </c>
      <c r="D22" t="s">
        <v>19</v>
      </c>
      <c r="E22">
        <v>66</v>
      </c>
      <c r="G22">
        <f t="shared" si="0"/>
        <v>10061</v>
      </c>
      <c r="K22" t="s">
        <v>251</v>
      </c>
      <c r="L22" s="9">
        <v>44316</v>
      </c>
      <c r="M22" t="s">
        <v>9</v>
      </c>
      <c r="N22" t="s">
        <v>80</v>
      </c>
      <c r="P22">
        <v>2500</v>
      </c>
      <c r="Q22">
        <f t="shared" si="1"/>
        <v>110015.70000000001</v>
      </c>
    </row>
    <row r="23" spans="1:19" x14ac:dyDescent="0.3">
      <c r="A23" t="s">
        <v>214</v>
      </c>
      <c r="B23" s="9">
        <v>44298</v>
      </c>
      <c r="C23" t="s">
        <v>13</v>
      </c>
      <c r="D23" t="s">
        <v>37</v>
      </c>
      <c r="E23">
        <v>1869</v>
      </c>
      <c r="G23">
        <f t="shared" si="0"/>
        <v>8192</v>
      </c>
    </row>
    <row r="24" spans="1:19" x14ac:dyDescent="0.3">
      <c r="A24" t="s">
        <v>215</v>
      </c>
      <c r="B24" s="9">
        <v>44301</v>
      </c>
      <c r="C24" t="s">
        <v>32</v>
      </c>
      <c r="D24" t="s">
        <v>39</v>
      </c>
      <c r="E24">
        <v>1652</v>
      </c>
      <c r="G24">
        <f t="shared" si="0"/>
        <v>6540</v>
      </c>
    </row>
    <row r="25" spans="1:19" x14ac:dyDescent="0.3">
      <c r="A25" t="s">
        <v>216</v>
      </c>
      <c r="B25" s="9">
        <v>44301</v>
      </c>
      <c r="C25" t="s">
        <v>15</v>
      </c>
      <c r="D25" t="s">
        <v>30</v>
      </c>
      <c r="E25">
        <v>150</v>
      </c>
      <c r="G25">
        <f t="shared" si="0"/>
        <v>6390</v>
      </c>
    </row>
    <row r="26" spans="1:19" x14ac:dyDescent="0.3">
      <c r="A26" t="s">
        <v>217</v>
      </c>
      <c r="B26" s="9">
        <v>44301</v>
      </c>
      <c r="C26" t="s">
        <v>23</v>
      </c>
      <c r="D26" t="s">
        <v>40</v>
      </c>
      <c r="E26">
        <v>430</v>
      </c>
      <c r="G26">
        <f t="shared" si="0"/>
        <v>5960</v>
      </c>
    </row>
    <row r="27" spans="1:19" x14ac:dyDescent="0.3">
      <c r="A27" t="s">
        <v>218</v>
      </c>
      <c r="B27" s="9">
        <v>44301</v>
      </c>
      <c r="C27" t="s">
        <v>15</v>
      </c>
      <c r="D27" t="s">
        <v>41</v>
      </c>
      <c r="E27">
        <v>377</v>
      </c>
      <c r="G27">
        <f t="shared" si="0"/>
        <v>5583</v>
      </c>
    </row>
    <row r="28" spans="1:19" x14ac:dyDescent="0.3">
      <c r="A28" t="s">
        <v>219</v>
      </c>
      <c r="B28" s="9">
        <v>44301</v>
      </c>
      <c r="C28" t="s">
        <v>15</v>
      </c>
      <c r="D28" t="s">
        <v>42</v>
      </c>
      <c r="E28">
        <v>600</v>
      </c>
      <c r="G28">
        <f t="shared" si="0"/>
        <v>4983</v>
      </c>
    </row>
    <row r="29" spans="1:19" x14ac:dyDescent="0.3">
      <c r="A29" t="s">
        <v>220</v>
      </c>
      <c r="B29" s="9">
        <v>44301</v>
      </c>
      <c r="C29" t="s">
        <v>23</v>
      </c>
      <c r="D29" t="s">
        <v>43</v>
      </c>
      <c r="E29">
        <v>1890</v>
      </c>
      <c r="G29">
        <f t="shared" si="0"/>
        <v>3093</v>
      </c>
    </row>
    <row r="30" spans="1:19" x14ac:dyDescent="0.3">
      <c r="A30" s="11" t="s">
        <v>221</v>
      </c>
      <c r="B30" s="12">
        <v>44302</v>
      </c>
      <c r="C30" s="11" t="s">
        <v>17</v>
      </c>
      <c r="D30" s="11" t="s">
        <v>18</v>
      </c>
      <c r="E30" s="11"/>
      <c r="F30" s="11">
        <v>10000</v>
      </c>
      <c r="G30" s="11">
        <f t="shared" si="0"/>
        <v>13093</v>
      </c>
    </row>
    <row r="31" spans="1:19" x14ac:dyDescent="0.3">
      <c r="A31" t="s">
        <v>222</v>
      </c>
      <c r="B31" s="9">
        <v>13</v>
      </c>
      <c r="C31" t="s">
        <v>23</v>
      </c>
      <c r="D31" t="s">
        <v>24</v>
      </c>
      <c r="E31">
        <v>100</v>
      </c>
      <c r="G31">
        <f t="shared" si="0"/>
        <v>12993</v>
      </c>
    </row>
    <row r="32" spans="1:19" x14ac:dyDescent="0.3">
      <c r="A32" t="s">
        <v>223</v>
      </c>
      <c r="B32" s="9">
        <v>44305</v>
      </c>
      <c r="C32" t="s">
        <v>15</v>
      </c>
      <c r="D32" t="s">
        <v>16</v>
      </c>
      <c r="E32">
        <v>640</v>
      </c>
      <c r="G32">
        <f t="shared" si="0"/>
        <v>12353</v>
      </c>
    </row>
    <row r="33" spans="1:9" x14ac:dyDescent="0.3">
      <c r="A33" t="s">
        <v>224</v>
      </c>
      <c r="B33" s="9">
        <v>44306</v>
      </c>
      <c r="C33" t="s">
        <v>15</v>
      </c>
      <c r="D33" t="s">
        <v>19</v>
      </c>
      <c r="E33">
        <v>462</v>
      </c>
      <c r="G33">
        <f t="shared" si="0"/>
        <v>11891</v>
      </c>
    </row>
    <row r="34" spans="1:9" x14ac:dyDescent="0.3">
      <c r="A34" t="s">
        <v>225</v>
      </c>
      <c r="B34" s="9">
        <v>44306</v>
      </c>
      <c r="C34" t="s">
        <v>47</v>
      </c>
      <c r="D34" t="s">
        <v>48</v>
      </c>
      <c r="E34">
        <v>41</v>
      </c>
      <c r="G34">
        <f t="shared" si="0"/>
        <v>11850</v>
      </c>
    </row>
    <row r="35" spans="1:9" x14ac:dyDescent="0.3">
      <c r="A35" t="s">
        <v>226</v>
      </c>
      <c r="B35" s="9">
        <v>44308</v>
      </c>
      <c r="C35" t="s">
        <v>13</v>
      </c>
      <c r="D35" t="s">
        <v>50</v>
      </c>
      <c r="E35">
        <v>590</v>
      </c>
      <c r="G35">
        <f t="shared" si="0"/>
        <v>11260</v>
      </c>
    </row>
    <row r="36" spans="1:9" x14ac:dyDescent="0.3">
      <c r="A36" t="s">
        <v>227</v>
      </c>
      <c r="B36" s="9">
        <v>44312</v>
      </c>
      <c r="C36" t="s">
        <v>15</v>
      </c>
      <c r="D36" t="s">
        <v>16</v>
      </c>
      <c r="E36">
        <v>521</v>
      </c>
      <c r="G36">
        <f t="shared" si="0"/>
        <v>10739</v>
      </c>
    </row>
    <row r="37" spans="1:9" x14ac:dyDescent="0.3">
      <c r="A37" t="s">
        <v>228</v>
      </c>
      <c r="B37" s="9">
        <v>44312</v>
      </c>
      <c r="C37" t="s">
        <v>15</v>
      </c>
      <c r="D37" t="s">
        <v>30</v>
      </c>
      <c r="E37">
        <v>200</v>
      </c>
      <c r="G37">
        <f t="shared" si="0"/>
        <v>10539</v>
      </c>
    </row>
    <row r="38" spans="1:9" ht="15" thickBot="1" x14ac:dyDescent="0.35">
      <c r="A38" t="s">
        <v>229</v>
      </c>
      <c r="B38" s="9">
        <v>44313</v>
      </c>
      <c r="C38" t="s">
        <v>15</v>
      </c>
      <c r="D38" t="s">
        <v>19</v>
      </c>
      <c r="E38">
        <v>462</v>
      </c>
      <c r="G38">
        <f t="shared" si="0"/>
        <v>10077</v>
      </c>
    </row>
    <row r="39" spans="1:9" ht="15.6" thickTop="1" thickBot="1" x14ac:dyDescent="0.35">
      <c r="A39" t="s">
        <v>230</v>
      </c>
      <c r="B39" s="9">
        <v>44313</v>
      </c>
      <c r="C39" t="s">
        <v>20</v>
      </c>
      <c r="D39" t="s">
        <v>53</v>
      </c>
      <c r="E39">
        <v>60</v>
      </c>
      <c r="G39">
        <f t="shared" si="0"/>
        <v>10017</v>
      </c>
      <c r="H39" s="29" t="s">
        <v>3</v>
      </c>
      <c r="I39" s="30" t="e">
        <f>SUM('OP&amp;CL'!#REF!)</f>
        <v>#REF!</v>
      </c>
    </row>
    <row r="40" spans="1:9" ht="15.6" thickTop="1" thickBot="1" x14ac:dyDescent="0.35">
      <c r="A40" t="s">
        <v>231</v>
      </c>
      <c r="B40" s="9">
        <v>44316</v>
      </c>
      <c r="C40" t="s">
        <v>13</v>
      </c>
      <c r="D40" t="s">
        <v>55</v>
      </c>
      <c r="E40">
        <v>280</v>
      </c>
      <c r="G40">
        <f t="shared" si="0"/>
        <v>9737</v>
      </c>
      <c r="H40" s="29" t="s">
        <v>4</v>
      </c>
      <c r="I40" s="30" t="e">
        <f>SUM('OP&amp;CL'!#REF!)</f>
        <v>#REF!</v>
      </c>
    </row>
    <row r="41" spans="1:9" ht="15.6" thickTop="1" thickBot="1" x14ac:dyDescent="0.35">
      <c r="A41" t="s">
        <v>232</v>
      </c>
      <c r="B41" s="9">
        <v>44316</v>
      </c>
      <c r="C41" t="s">
        <v>32</v>
      </c>
      <c r="D41" t="s">
        <v>56</v>
      </c>
      <c r="E41">
        <v>273</v>
      </c>
      <c r="G41">
        <f t="shared" si="0"/>
        <v>9464</v>
      </c>
      <c r="H41" s="29" t="s">
        <v>5</v>
      </c>
      <c r="I41" s="30" t="e">
        <f>I40-I39+'OP&amp;CL'!#REF!</f>
        <v>#REF!</v>
      </c>
    </row>
    <row r="42" spans="1:9" ht="15" thickTop="1" x14ac:dyDescent="0.3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6"/>
  <sheetViews>
    <sheetView topLeftCell="F1" zoomScale="99" zoomScaleNormal="99" workbookViewId="0">
      <selection activeCell="R32" sqref="R32"/>
    </sheetView>
  </sheetViews>
  <sheetFormatPr defaultRowHeight="14.4" x14ac:dyDescent="0.3"/>
  <cols>
    <col min="2" max="2" width="13.44140625" customWidth="1"/>
    <col min="3" max="3" width="14.77734375" bestFit="1" customWidth="1"/>
    <col min="4" max="4" width="11.77734375" bestFit="1" customWidth="1"/>
    <col min="12" max="12" width="10.6640625" bestFit="1" customWidth="1"/>
    <col min="17" max="17" width="10.33203125" bestFit="1" customWidth="1"/>
    <col min="18" max="19" width="10.33203125" customWidth="1"/>
    <col min="22" max="22" width="10.44140625" bestFit="1" customWidth="1"/>
  </cols>
  <sheetData>
    <row r="1" spans="1:27" ht="15" thickBot="1" x14ac:dyDescent="0.35">
      <c r="A1" s="4"/>
      <c r="B1" s="5" t="s">
        <v>81</v>
      </c>
      <c r="C1" s="5"/>
      <c r="D1" s="5"/>
      <c r="E1" s="5"/>
      <c r="F1" s="5"/>
      <c r="G1" s="6"/>
      <c r="K1" s="4"/>
      <c r="L1" s="5"/>
      <c r="M1" s="5" t="s">
        <v>82</v>
      </c>
      <c r="N1" s="5"/>
      <c r="O1" s="5"/>
      <c r="P1" s="5"/>
      <c r="Q1" s="6"/>
      <c r="U1" s="1"/>
      <c r="V1" s="2"/>
      <c r="W1" s="2" t="s">
        <v>82</v>
      </c>
      <c r="X1" s="2"/>
      <c r="Y1" s="2"/>
      <c r="Z1" s="2"/>
      <c r="AA1" s="3"/>
    </row>
    <row r="2" spans="1:27" ht="15" thickBot="1" x14ac:dyDescent="0.35">
      <c r="A2" s="4" t="s">
        <v>0</v>
      </c>
      <c r="B2" s="5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340</v>
      </c>
      <c r="B3" s="9">
        <v>44317</v>
      </c>
      <c r="C3" t="s">
        <v>8</v>
      </c>
      <c r="G3">
        <v>9464</v>
      </c>
      <c r="K3" t="s">
        <v>341</v>
      </c>
      <c r="L3" s="9">
        <v>44317</v>
      </c>
      <c r="M3" t="s">
        <v>8</v>
      </c>
      <c r="Q3">
        <v>110015.7</v>
      </c>
      <c r="U3" t="s">
        <v>342</v>
      </c>
      <c r="V3" s="9">
        <v>44201</v>
      </c>
      <c r="W3" t="s">
        <v>8</v>
      </c>
      <c r="AA3">
        <v>54791.5</v>
      </c>
    </row>
    <row r="4" spans="1:27" x14ac:dyDescent="0.3">
      <c r="A4" t="s">
        <v>253</v>
      </c>
      <c r="B4" s="9">
        <v>44317</v>
      </c>
      <c r="C4" t="s">
        <v>13</v>
      </c>
      <c r="D4" t="s">
        <v>14</v>
      </c>
      <c r="E4">
        <v>170</v>
      </c>
      <c r="G4">
        <f>G3+F4-E4</f>
        <v>9294</v>
      </c>
      <c r="K4" t="s">
        <v>262</v>
      </c>
      <c r="L4" s="9">
        <v>44322</v>
      </c>
      <c r="M4" t="s">
        <v>9</v>
      </c>
      <c r="N4" t="s">
        <v>84</v>
      </c>
      <c r="P4">
        <v>15000</v>
      </c>
      <c r="Q4">
        <f>Q3+P4-O4</f>
        <v>125015.7</v>
      </c>
      <c r="U4" t="s">
        <v>275</v>
      </c>
      <c r="V4" s="9">
        <v>44340</v>
      </c>
      <c r="W4" t="s">
        <v>83</v>
      </c>
      <c r="Z4">
        <v>142.91999999999999</v>
      </c>
      <c r="AA4">
        <f>AA3+Z4</f>
        <v>54934.42</v>
      </c>
    </row>
    <row r="5" spans="1:27" x14ac:dyDescent="0.3">
      <c r="A5" t="s">
        <v>254</v>
      </c>
      <c r="B5" s="9">
        <v>44317</v>
      </c>
      <c r="C5" t="s">
        <v>15</v>
      </c>
      <c r="D5" t="s">
        <v>30</v>
      </c>
      <c r="E5">
        <v>100</v>
      </c>
      <c r="G5">
        <f t="shared" ref="G5:G12" si="0">G4+F5-E5</f>
        <v>9194</v>
      </c>
      <c r="K5" t="s">
        <v>263</v>
      </c>
      <c r="L5" s="9">
        <v>44323</v>
      </c>
      <c r="M5" t="s">
        <v>60</v>
      </c>
      <c r="N5" t="s">
        <v>61</v>
      </c>
      <c r="O5">
        <v>5667</v>
      </c>
      <c r="Q5">
        <f t="shared" ref="Q5:Q16" si="1">Q4+P5-O5</f>
        <v>119348.7</v>
      </c>
    </row>
    <row r="6" spans="1:27" x14ac:dyDescent="0.3">
      <c r="A6" t="s">
        <v>255</v>
      </c>
      <c r="B6" s="9">
        <v>44320</v>
      </c>
      <c r="C6" t="s">
        <v>15</v>
      </c>
      <c r="D6" t="s">
        <v>19</v>
      </c>
      <c r="E6">
        <v>352</v>
      </c>
      <c r="G6">
        <f t="shared" si="0"/>
        <v>8842</v>
      </c>
      <c r="K6" t="s">
        <v>264</v>
      </c>
      <c r="L6" s="9">
        <v>44323</v>
      </c>
      <c r="M6" t="s">
        <v>69</v>
      </c>
      <c r="N6" t="s">
        <v>85</v>
      </c>
      <c r="O6">
        <v>17500</v>
      </c>
      <c r="Q6">
        <f t="shared" si="1"/>
        <v>101848.7</v>
      </c>
    </row>
    <row r="7" spans="1:27" x14ac:dyDescent="0.3">
      <c r="A7" t="s">
        <v>256</v>
      </c>
      <c r="B7" s="9">
        <v>44320</v>
      </c>
      <c r="C7" t="s">
        <v>15</v>
      </c>
      <c r="D7" t="s">
        <v>16</v>
      </c>
      <c r="E7">
        <v>254</v>
      </c>
      <c r="G7">
        <f t="shared" si="0"/>
        <v>8588</v>
      </c>
      <c r="K7" t="s">
        <v>265</v>
      </c>
      <c r="L7" s="9">
        <v>44323</v>
      </c>
      <c r="M7" t="s">
        <v>11</v>
      </c>
      <c r="O7">
        <v>2.95</v>
      </c>
      <c r="Q7">
        <f t="shared" si="1"/>
        <v>101845.75</v>
      </c>
    </row>
    <row r="8" spans="1:27" x14ac:dyDescent="0.3">
      <c r="A8" t="s">
        <v>257</v>
      </c>
      <c r="B8" s="9">
        <v>44320</v>
      </c>
      <c r="C8" t="s">
        <v>23</v>
      </c>
      <c r="D8" t="s">
        <v>92</v>
      </c>
      <c r="E8">
        <v>150</v>
      </c>
      <c r="G8">
        <f t="shared" si="0"/>
        <v>8438</v>
      </c>
      <c r="K8" t="s">
        <v>266</v>
      </c>
      <c r="L8" s="9">
        <v>44323</v>
      </c>
      <c r="M8" t="s">
        <v>86</v>
      </c>
      <c r="N8" t="s">
        <v>87</v>
      </c>
      <c r="O8">
        <v>2360</v>
      </c>
      <c r="Q8">
        <f t="shared" si="1"/>
        <v>99485.75</v>
      </c>
    </row>
    <row r="9" spans="1:27" x14ac:dyDescent="0.3">
      <c r="A9" t="s">
        <v>258</v>
      </c>
      <c r="B9" s="9">
        <v>44323</v>
      </c>
      <c r="C9" t="s">
        <v>93</v>
      </c>
      <c r="D9" t="s">
        <v>94</v>
      </c>
      <c r="E9">
        <v>250</v>
      </c>
      <c r="G9">
        <f t="shared" si="0"/>
        <v>8188</v>
      </c>
      <c r="K9" t="s">
        <v>267</v>
      </c>
      <c r="L9" s="9">
        <v>44323</v>
      </c>
      <c r="M9" t="s">
        <v>9</v>
      </c>
      <c r="N9" t="s">
        <v>88</v>
      </c>
      <c r="P9">
        <v>403</v>
      </c>
      <c r="Q9">
        <f t="shared" si="1"/>
        <v>99888.75</v>
      </c>
    </row>
    <row r="10" spans="1:27" x14ac:dyDescent="0.3">
      <c r="A10" t="s">
        <v>259</v>
      </c>
      <c r="B10" s="9">
        <v>44324</v>
      </c>
      <c r="C10" t="s">
        <v>15</v>
      </c>
      <c r="D10" t="s">
        <v>19</v>
      </c>
      <c r="E10">
        <v>176</v>
      </c>
      <c r="G10">
        <f t="shared" si="0"/>
        <v>8012</v>
      </c>
      <c r="K10" t="s">
        <v>268</v>
      </c>
      <c r="L10" s="9">
        <v>44323</v>
      </c>
      <c r="M10" t="s">
        <v>60</v>
      </c>
      <c r="N10" t="s">
        <v>62</v>
      </c>
      <c r="O10">
        <v>5250</v>
      </c>
      <c r="Q10">
        <f t="shared" si="1"/>
        <v>94638.75</v>
      </c>
    </row>
    <row r="11" spans="1:27" x14ac:dyDescent="0.3">
      <c r="A11" t="s">
        <v>260</v>
      </c>
      <c r="B11" s="9">
        <v>44324</v>
      </c>
      <c r="C11" t="s">
        <v>13</v>
      </c>
      <c r="D11" t="s">
        <v>14</v>
      </c>
      <c r="E11">
        <v>48</v>
      </c>
      <c r="G11">
        <f t="shared" si="0"/>
        <v>7964</v>
      </c>
      <c r="K11" t="s">
        <v>269</v>
      </c>
      <c r="L11" s="9">
        <v>44328</v>
      </c>
      <c r="M11" t="s">
        <v>58</v>
      </c>
      <c r="N11" t="s">
        <v>59</v>
      </c>
      <c r="O11">
        <v>2531</v>
      </c>
      <c r="Q11">
        <f t="shared" si="1"/>
        <v>92107.75</v>
      </c>
    </row>
    <row r="12" spans="1:27" x14ac:dyDescent="0.3">
      <c r="A12" t="s">
        <v>261</v>
      </c>
      <c r="B12" s="9">
        <v>44324</v>
      </c>
      <c r="C12" t="s">
        <v>13</v>
      </c>
      <c r="D12" t="s">
        <v>95</v>
      </c>
      <c r="E12">
        <v>1965</v>
      </c>
      <c r="G12">
        <f t="shared" si="0"/>
        <v>5999</v>
      </c>
      <c r="K12" t="s">
        <v>270</v>
      </c>
      <c r="L12" s="9">
        <v>44333</v>
      </c>
      <c r="M12" t="s">
        <v>60</v>
      </c>
      <c r="N12" t="s">
        <v>68</v>
      </c>
      <c r="O12">
        <v>11966</v>
      </c>
      <c r="Q12">
        <f t="shared" si="1"/>
        <v>80141.75</v>
      </c>
    </row>
    <row r="13" spans="1:27" x14ac:dyDescent="0.3">
      <c r="K13" t="s">
        <v>271</v>
      </c>
      <c r="L13" s="9">
        <v>44333</v>
      </c>
      <c r="M13" t="s">
        <v>60</v>
      </c>
      <c r="N13" t="s">
        <v>67</v>
      </c>
      <c r="O13">
        <v>6541</v>
      </c>
      <c r="Q13">
        <f t="shared" si="1"/>
        <v>73600.75</v>
      </c>
    </row>
    <row r="14" spans="1:27" x14ac:dyDescent="0.3">
      <c r="K14" t="s">
        <v>272</v>
      </c>
      <c r="L14" s="9">
        <v>44333</v>
      </c>
      <c r="M14" t="s">
        <v>60</v>
      </c>
      <c r="N14" t="s">
        <v>89</v>
      </c>
      <c r="O14">
        <v>8041</v>
      </c>
      <c r="Q14">
        <f t="shared" si="1"/>
        <v>65559.75</v>
      </c>
    </row>
    <row r="15" spans="1:27" x14ac:dyDescent="0.3">
      <c r="K15" t="s">
        <v>273</v>
      </c>
      <c r="L15" s="9">
        <v>44334</v>
      </c>
      <c r="M15" t="s">
        <v>9</v>
      </c>
      <c r="N15" t="s">
        <v>90</v>
      </c>
      <c r="P15">
        <v>50000</v>
      </c>
      <c r="Q15">
        <f t="shared" si="1"/>
        <v>115559.75</v>
      </c>
    </row>
    <row r="16" spans="1:27" x14ac:dyDescent="0.3">
      <c r="K16" t="s">
        <v>274</v>
      </c>
      <c r="L16" s="9">
        <v>44334</v>
      </c>
      <c r="M16" t="s">
        <v>9</v>
      </c>
      <c r="N16" t="s">
        <v>91</v>
      </c>
      <c r="P16">
        <v>5000</v>
      </c>
      <c r="Q16">
        <f t="shared" si="1"/>
        <v>120559.75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4"/>
  <sheetViews>
    <sheetView workbookViewId="0">
      <selection activeCell="O22" sqref="O22"/>
    </sheetView>
  </sheetViews>
  <sheetFormatPr defaultRowHeight="14.4" x14ac:dyDescent="0.3"/>
  <cols>
    <col min="2" max="2" width="15.21875" customWidth="1"/>
    <col min="12" max="12" width="10.33203125" bestFit="1" customWidth="1"/>
    <col min="15" max="15" width="9.33203125" bestFit="1" customWidth="1"/>
    <col min="17" max="17" width="10" bestFit="1" customWidth="1"/>
    <col min="18" max="19" width="10" customWidth="1"/>
    <col min="22" max="22" width="10.33203125" bestFit="1" customWidth="1"/>
    <col min="23" max="23" width="12.21875" customWidth="1"/>
  </cols>
  <sheetData>
    <row r="1" spans="1:27" ht="15" thickBot="1" x14ac:dyDescent="0.35">
      <c r="A1" s="4"/>
      <c r="B1" s="5" t="s">
        <v>96</v>
      </c>
      <c r="C1" s="5"/>
      <c r="D1" s="5"/>
      <c r="E1" s="5"/>
      <c r="F1" s="5"/>
      <c r="G1" s="6"/>
      <c r="K1" s="4"/>
      <c r="L1" s="5"/>
      <c r="M1" s="5" t="s">
        <v>97</v>
      </c>
      <c r="N1" s="5"/>
      <c r="O1" s="5"/>
      <c r="P1" s="5"/>
      <c r="Q1" s="6"/>
      <c r="U1" s="1"/>
      <c r="V1" s="2"/>
      <c r="W1" s="2" t="s">
        <v>97</v>
      </c>
      <c r="X1" s="2"/>
      <c r="Y1" s="2"/>
      <c r="Z1" s="2"/>
      <c r="AA1" s="3"/>
    </row>
    <row r="2" spans="1:27" ht="15" thickBot="1" x14ac:dyDescent="0.35">
      <c r="A2" s="4" t="s">
        <v>0</v>
      </c>
      <c r="B2" s="5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343</v>
      </c>
      <c r="B3" s="9">
        <v>44348</v>
      </c>
      <c r="C3" t="s">
        <v>8</v>
      </c>
      <c r="G3">
        <v>5999</v>
      </c>
      <c r="K3" t="s">
        <v>344</v>
      </c>
      <c r="L3" s="9">
        <v>44348</v>
      </c>
      <c r="M3" t="s">
        <v>8</v>
      </c>
      <c r="Q3">
        <v>120559.75</v>
      </c>
      <c r="U3" t="s">
        <v>345</v>
      </c>
      <c r="V3" s="9">
        <v>44348</v>
      </c>
      <c r="W3" t="s">
        <v>8</v>
      </c>
      <c r="AA3">
        <v>54934.42</v>
      </c>
    </row>
    <row r="4" spans="1:27" x14ac:dyDescent="0.3">
      <c r="A4" t="s">
        <v>277</v>
      </c>
      <c r="B4" s="9">
        <v>44364</v>
      </c>
      <c r="C4" t="s">
        <v>13</v>
      </c>
      <c r="D4" t="s">
        <v>98</v>
      </c>
      <c r="E4">
        <v>1890</v>
      </c>
      <c r="G4">
        <f>G3+F4-E4</f>
        <v>4109</v>
      </c>
      <c r="K4" t="s">
        <v>280</v>
      </c>
      <c r="L4" s="9">
        <v>44350</v>
      </c>
      <c r="M4" t="s">
        <v>9</v>
      </c>
      <c r="N4" t="s">
        <v>276</v>
      </c>
      <c r="P4">
        <v>5000</v>
      </c>
      <c r="Q4">
        <f>Q3+P4-O4</f>
        <v>125559.75</v>
      </c>
      <c r="U4" t="s">
        <v>291</v>
      </c>
      <c r="V4" s="9">
        <v>44355</v>
      </c>
      <c r="W4" t="s">
        <v>9</v>
      </c>
      <c r="X4" t="s">
        <v>107</v>
      </c>
      <c r="Z4">
        <v>8784.06</v>
      </c>
      <c r="AA4">
        <f>AA3+Z4-Y4</f>
        <v>63718.479999999996</v>
      </c>
    </row>
    <row r="5" spans="1:27" x14ac:dyDescent="0.3">
      <c r="A5" t="s">
        <v>278</v>
      </c>
      <c r="B5" s="9">
        <v>44377</v>
      </c>
      <c r="C5" t="s">
        <v>13</v>
      </c>
      <c r="D5" t="s">
        <v>106</v>
      </c>
      <c r="E5">
        <v>589</v>
      </c>
      <c r="G5">
        <f t="shared" ref="G5:G6" si="0">G4+F5-E5</f>
        <v>3520</v>
      </c>
      <c r="K5" t="s">
        <v>281</v>
      </c>
      <c r="L5" s="9">
        <v>44351</v>
      </c>
      <c r="M5" t="s">
        <v>9</v>
      </c>
      <c r="N5" t="s">
        <v>101</v>
      </c>
      <c r="P5">
        <v>1000</v>
      </c>
      <c r="Q5">
        <f t="shared" ref="Q5:Q14" si="1">Q4+P5-O5</f>
        <v>126559.75</v>
      </c>
      <c r="U5" t="s">
        <v>292</v>
      </c>
      <c r="V5" s="9">
        <v>44364</v>
      </c>
      <c r="W5" t="s">
        <v>9</v>
      </c>
      <c r="X5" t="s">
        <v>108</v>
      </c>
      <c r="Z5">
        <v>484.66</v>
      </c>
      <c r="AA5">
        <f t="shared" ref="AA5:AA6" si="2">AA4+Z5-Y5</f>
        <v>64203.14</v>
      </c>
    </row>
    <row r="6" spans="1:27" x14ac:dyDescent="0.3">
      <c r="A6" t="s">
        <v>279</v>
      </c>
      <c r="B6" s="9">
        <v>44377</v>
      </c>
      <c r="C6" t="s">
        <v>13</v>
      </c>
      <c r="D6" t="s">
        <v>106</v>
      </c>
      <c r="E6">
        <v>590</v>
      </c>
      <c r="G6">
        <f t="shared" si="0"/>
        <v>2930</v>
      </c>
      <c r="K6" t="s">
        <v>282</v>
      </c>
      <c r="L6" s="9">
        <v>44363</v>
      </c>
      <c r="M6" t="s">
        <v>99</v>
      </c>
      <c r="N6" t="s">
        <v>105</v>
      </c>
      <c r="O6">
        <v>17.7</v>
      </c>
      <c r="Q6">
        <f t="shared" si="1"/>
        <v>126542.05</v>
      </c>
      <c r="U6" t="s">
        <v>293</v>
      </c>
      <c r="V6" s="9">
        <v>44375</v>
      </c>
      <c r="W6" t="s">
        <v>9</v>
      </c>
      <c r="X6" t="s">
        <v>108</v>
      </c>
      <c r="Z6">
        <v>484.66</v>
      </c>
      <c r="AA6">
        <f t="shared" si="2"/>
        <v>64687.8</v>
      </c>
    </row>
    <row r="7" spans="1:27" x14ac:dyDescent="0.3">
      <c r="K7" t="s">
        <v>283</v>
      </c>
      <c r="L7" s="9">
        <v>44364</v>
      </c>
      <c r="M7" t="s">
        <v>60</v>
      </c>
      <c r="N7" t="s">
        <v>68</v>
      </c>
      <c r="O7">
        <v>8700</v>
      </c>
      <c r="Q7">
        <f t="shared" si="1"/>
        <v>117842.05</v>
      </c>
    </row>
    <row r="8" spans="1:27" x14ac:dyDescent="0.3">
      <c r="K8" t="s">
        <v>284</v>
      </c>
      <c r="L8" s="9">
        <v>44364</v>
      </c>
      <c r="M8" t="s">
        <v>60</v>
      </c>
      <c r="N8" t="s">
        <v>102</v>
      </c>
      <c r="O8">
        <v>6000</v>
      </c>
      <c r="Q8">
        <f t="shared" si="1"/>
        <v>111842.05</v>
      </c>
    </row>
    <row r="9" spans="1:27" x14ac:dyDescent="0.3">
      <c r="K9" t="s">
        <v>285</v>
      </c>
      <c r="L9" s="9">
        <v>44364</v>
      </c>
      <c r="M9" t="s">
        <v>60</v>
      </c>
      <c r="N9" t="s">
        <v>62</v>
      </c>
      <c r="O9">
        <v>4500</v>
      </c>
      <c r="Q9">
        <f t="shared" si="1"/>
        <v>107342.05</v>
      </c>
    </row>
    <row r="10" spans="1:27" x14ac:dyDescent="0.3">
      <c r="K10" t="s">
        <v>286</v>
      </c>
      <c r="L10" s="9">
        <v>44364</v>
      </c>
      <c r="M10" t="s">
        <v>60</v>
      </c>
      <c r="N10" t="s">
        <v>61</v>
      </c>
      <c r="O10">
        <v>3500</v>
      </c>
      <c r="Q10">
        <f t="shared" si="1"/>
        <v>103842.05</v>
      </c>
    </row>
    <row r="11" spans="1:27" x14ac:dyDescent="0.3">
      <c r="K11" t="s">
        <v>287</v>
      </c>
      <c r="L11" s="9">
        <v>44364</v>
      </c>
      <c r="M11" t="s">
        <v>99</v>
      </c>
      <c r="N11" t="s">
        <v>103</v>
      </c>
      <c r="O11">
        <v>5.9</v>
      </c>
      <c r="Q11">
        <f t="shared" si="1"/>
        <v>103836.15000000001</v>
      </c>
    </row>
    <row r="12" spans="1:27" x14ac:dyDescent="0.3">
      <c r="K12" t="s">
        <v>288</v>
      </c>
      <c r="L12" s="9">
        <v>44364</v>
      </c>
      <c r="M12" t="s">
        <v>100</v>
      </c>
      <c r="N12" t="s">
        <v>104</v>
      </c>
      <c r="O12">
        <v>22752</v>
      </c>
      <c r="Q12">
        <f t="shared" si="1"/>
        <v>81084.150000000009</v>
      </c>
    </row>
    <row r="13" spans="1:27" x14ac:dyDescent="0.3">
      <c r="K13" t="s">
        <v>289</v>
      </c>
      <c r="L13" s="9">
        <v>44364</v>
      </c>
      <c r="M13" t="s">
        <v>69</v>
      </c>
      <c r="N13" t="s">
        <v>70</v>
      </c>
      <c r="O13">
        <v>17500</v>
      </c>
      <c r="Q13">
        <f t="shared" si="1"/>
        <v>63584.150000000009</v>
      </c>
    </row>
    <row r="14" spans="1:27" x14ac:dyDescent="0.3">
      <c r="K14" t="s">
        <v>290</v>
      </c>
      <c r="L14" s="9">
        <v>44365</v>
      </c>
      <c r="M14" t="s">
        <v>60</v>
      </c>
      <c r="N14" t="s">
        <v>92</v>
      </c>
      <c r="O14">
        <v>5000</v>
      </c>
      <c r="Q14">
        <f t="shared" si="1"/>
        <v>58584.150000000009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4"/>
  <sheetViews>
    <sheetView topLeftCell="K1" workbookViewId="0">
      <selection activeCell="R32" sqref="R32"/>
    </sheetView>
  </sheetViews>
  <sheetFormatPr defaultRowHeight="14.4" x14ac:dyDescent="0.3"/>
  <cols>
    <col min="2" max="2" width="13.109375" customWidth="1"/>
    <col min="3" max="3" width="18" bestFit="1" customWidth="1"/>
    <col min="12" max="12" width="10.33203125" bestFit="1" customWidth="1"/>
    <col min="22" max="22" width="10.33203125" bestFit="1" customWidth="1"/>
  </cols>
  <sheetData>
    <row r="1" spans="1:27" ht="15" thickBot="1" x14ac:dyDescent="0.35">
      <c r="A1" s="4"/>
      <c r="B1" s="5" t="s">
        <v>109</v>
      </c>
      <c r="C1" s="5"/>
      <c r="D1" s="5"/>
      <c r="E1" s="5"/>
      <c r="F1" s="5"/>
      <c r="G1" s="6"/>
      <c r="K1" s="4"/>
      <c r="L1" s="5"/>
      <c r="M1" s="5" t="s">
        <v>110</v>
      </c>
      <c r="N1" s="5"/>
      <c r="O1" s="5"/>
      <c r="P1" s="5"/>
      <c r="Q1" s="6"/>
      <c r="U1" s="1"/>
      <c r="V1" s="2"/>
      <c r="W1" s="2" t="s">
        <v>110</v>
      </c>
      <c r="X1" s="2"/>
      <c r="Y1" s="2"/>
      <c r="Z1" s="2"/>
      <c r="AA1" s="3"/>
    </row>
    <row r="2" spans="1:27" ht="15" thickBot="1" x14ac:dyDescent="0.35">
      <c r="A2" s="4" t="s">
        <v>0</v>
      </c>
      <c r="B2" s="5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346</v>
      </c>
      <c r="B3" s="9">
        <v>44378</v>
      </c>
      <c r="C3" t="s">
        <v>111</v>
      </c>
      <c r="G3">
        <v>2930</v>
      </c>
      <c r="K3" t="s">
        <v>347</v>
      </c>
      <c r="L3" s="9">
        <v>44378</v>
      </c>
      <c r="Q3">
        <v>58584.15</v>
      </c>
      <c r="U3" t="s">
        <v>348</v>
      </c>
      <c r="V3" s="9">
        <v>44378</v>
      </c>
      <c r="W3" t="s">
        <v>8</v>
      </c>
      <c r="AA3">
        <v>64687.8</v>
      </c>
    </row>
    <row r="4" spans="1:27" x14ac:dyDescent="0.3">
      <c r="A4" t="s">
        <v>294</v>
      </c>
      <c r="B4" s="9">
        <v>44378</v>
      </c>
      <c r="C4" t="s">
        <v>23</v>
      </c>
      <c r="D4" t="s">
        <v>112</v>
      </c>
      <c r="E4">
        <v>540</v>
      </c>
      <c r="G4">
        <f>SUM(G3+F4-E4)</f>
        <v>2390</v>
      </c>
      <c r="K4" t="s">
        <v>302</v>
      </c>
      <c r="L4" s="9">
        <v>44380</v>
      </c>
      <c r="M4" t="s">
        <v>9</v>
      </c>
      <c r="N4" t="s">
        <v>276</v>
      </c>
      <c r="P4">
        <v>5000</v>
      </c>
      <c r="Q4">
        <f>SUM(Q3+P4-O4)</f>
        <v>63584.15</v>
      </c>
      <c r="U4" t="s">
        <v>313</v>
      </c>
      <c r="V4" s="9">
        <v>44403</v>
      </c>
      <c r="W4" t="s">
        <v>121</v>
      </c>
      <c r="X4" t="s">
        <v>128</v>
      </c>
      <c r="Z4">
        <v>484.66</v>
      </c>
      <c r="AA4">
        <f>SUM(AA3+Z4-Y4)</f>
        <v>65172.460000000006</v>
      </c>
    </row>
    <row r="5" spans="1:27" x14ac:dyDescent="0.3">
      <c r="A5" t="s">
        <v>295</v>
      </c>
      <c r="B5" s="9">
        <v>44389</v>
      </c>
      <c r="C5" t="s">
        <v>129</v>
      </c>
      <c r="D5" t="s">
        <v>113</v>
      </c>
      <c r="E5">
        <v>2186</v>
      </c>
      <c r="G5">
        <f t="shared" ref="G5:G11" si="0">SUM(G4+F5-E5)</f>
        <v>204</v>
      </c>
      <c r="K5" t="s">
        <v>303</v>
      </c>
      <c r="L5" s="9">
        <v>44383</v>
      </c>
      <c r="M5" t="s">
        <v>9</v>
      </c>
      <c r="N5" t="s">
        <v>117</v>
      </c>
      <c r="P5">
        <v>1000</v>
      </c>
      <c r="Q5">
        <f t="shared" ref="Q5:Q14" si="1">SUM(Q4+P5-O5)</f>
        <v>64584.15</v>
      </c>
      <c r="V5" s="9"/>
    </row>
    <row r="6" spans="1:27" x14ac:dyDescent="0.3">
      <c r="A6" s="11" t="s">
        <v>296</v>
      </c>
      <c r="B6" s="12">
        <v>44389</v>
      </c>
      <c r="C6" s="11" t="s">
        <v>17</v>
      </c>
      <c r="D6" s="11"/>
      <c r="E6" s="11"/>
      <c r="F6" s="11">
        <v>10000</v>
      </c>
      <c r="G6" s="11">
        <f t="shared" si="0"/>
        <v>10204</v>
      </c>
      <c r="K6" t="s">
        <v>304</v>
      </c>
      <c r="L6" s="9">
        <v>44386</v>
      </c>
      <c r="M6" t="s">
        <v>69</v>
      </c>
      <c r="N6" t="s">
        <v>118</v>
      </c>
      <c r="O6">
        <v>17500</v>
      </c>
      <c r="Q6">
        <f t="shared" si="1"/>
        <v>47084.15</v>
      </c>
      <c r="V6" s="9"/>
    </row>
    <row r="7" spans="1:27" x14ac:dyDescent="0.3">
      <c r="A7" t="s">
        <v>297</v>
      </c>
      <c r="B7" s="9">
        <v>44391</v>
      </c>
      <c r="C7" t="s">
        <v>23</v>
      </c>
      <c r="D7" t="s">
        <v>114</v>
      </c>
      <c r="E7">
        <v>160</v>
      </c>
      <c r="G7">
        <f t="shared" si="0"/>
        <v>10044</v>
      </c>
      <c r="K7" t="s">
        <v>305</v>
      </c>
      <c r="L7" s="9">
        <v>44386</v>
      </c>
      <c r="M7" t="s">
        <v>60</v>
      </c>
      <c r="N7" t="s">
        <v>61</v>
      </c>
      <c r="O7">
        <v>4500</v>
      </c>
      <c r="Q7">
        <f t="shared" si="1"/>
        <v>42584.15</v>
      </c>
    </row>
    <row r="8" spans="1:27" x14ac:dyDescent="0.3">
      <c r="A8" t="s">
        <v>298</v>
      </c>
      <c r="B8" s="9">
        <v>44399</v>
      </c>
      <c r="C8" t="s">
        <v>23</v>
      </c>
      <c r="D8" t="s">
        <v>115</v>
      </c>
      <c r="E8">
        <v>120</v>
      </c>
      <c r="G8">
        <f t="shared" si="0"/>
        <v>9924</v>
      </c>
      <c r="K8" s="11" t="s">
        <v>306</v>
      </c>
      <c r="L8" s="12">
        <v>44389</v>
      </c>
      <c r="M8" s="11" t="s">
        <v>17</v>
      </c>
      <c r="N8" s="11" t="s">
        <v>18</v>
      </c>
      <c r="O8" s="11">
        <v>10000</v>
      </c>
      <c r="P8" s="11"/>
      <c r="Q8" s="11">
        <f t="shared" si="1"/>
        <v>32584.15</v>
      </c>
    </row>
    <row r="9" spans="1:27" x14ac:dyDescent="0.3">
      <c r="A9" t="s">
        <v>299</v>
      </c>
      <c r="B9" s="9">
        <v>44399</v>
      </c>
      <c r="C9" t="s">
        <v>13</v>
      </c>
      <c r="D9" t="s">
        <v>116</v>
      </c>
      <c r="E9">
        <v>1560</v>
      </c>
      <c r="G9">
        <f t="shared" si="0"/>
        <v>8364</v>
      </c>
      <c r="K9" t="s">
        <v>307</v>
      </c>
      <c r="L9" s="9">
        <v>44389</v>
      </c>
      <c r="M9" t="s">
        <v>60</v>
      </c>
      <c r="N9" t="s">
        <v>62</v>
      </c>
      <c r="O9">
        <v>3500</v>
      </c>
      <c r="Q9">
        <f t="shared" si="1"/>
        <v>29084.15</v>
      </c>
    </row>
    <row r="10" spans="1:27" x14ac:dyDescent="0.3">
      <c r="A10" t="s">
        <v>300</v>
      </c>
      <c r="B10" s="9">
        <v>44399</v>
      </c>
      <c r="C10" t="s">
        <v>13</v>
      </c>
      <c r="D10" t="s">
        <v>37</v>
      </c>
      <c r="E10">
        <v>220</v>
      </c>
      <c r="G10">
        <f t="shared" si="0"/>
        <v>8144</v>
      </c>
      <c r="K10" t="s">
        <v>308</v>
      </c>
      <c r="L10" s="9">
        <v>44392</v>
      </c>
      <c r="M10" t="s">
        <v>60</v>
      </c>
      <c r="N10" t="s">
        <v>68</v>
      </c>
      <c r="O10">
        <v>8700</v>
      </c>
      <c r="Q10">
        <f t="shared" si="1"/>
        <v>20384.150000000001</v>
      </c>
    </row>
    <row r="11" spans="1:27" x14ac:dyDescent="0.3">
      <c r="A11" t="s">
        <v>301</v>
      </c>
      <c r="B11" s="9">
        <v>44401</v>
      </c>
      <c r="C11" t="s">
        <v>13</v>
      </c>
      <c r="D11" t="s">
        <v>106</v>
      </c>
      <c r="E11">
        <v>589</v>
      </c>
      <c r="G11">
        <f t="shared" si="0"/>
        <v>7555</v>
      </c>
      <c r="K11" t="s">
        <v>309</v>
      </c>
      <c r="L11" s="9">
        <v>44392</v>
      </c>
      <c r="M11" t="s">
        <v>60</v>
      </c>
      <c r="N11" t="s">
        <v>102</v>
      </c>
      <c r="O11">
        <v>6000</v>
      </c>
      <c r="Q11">
        <f t="shared" si="1"/>
        <v>14384.150000000001</v>
      </c>
    </row>
    <row r="12" spans="1:27" x14ac:dyDescent="0.3">
      <c r="K12" t="s">
        <v>310</v>
      </c>
      <c r="L12" s="9">
        <v>44392</v>
      </c>
      <c r="M12" t="s">
        <v>9</v>
      </c>
      <c r="N12" t="s">
        <v>119</v>
      </c>
      <c r="P12">
        <v>5000</v>
      </c>
      <c r="Q12">
        <f t="shared" si="1"/>
        <v>19384.150000000001</v>
      </c>
    </row>
    <row r="13" spans="1:27" x14ac:dyDescent="0.3">
      <c r="K13" t="s">
        <v>311</v>
      </c>
      <c r="L13" s="9">
        <v>44393</v>
      </c>
      <c r="M13" t="s">
        <v>9</v>
      </c>
      <c r="N13" t="s">
        <v>119</v>
      </c>
      <c r="P13">
        <v>5000</v>
      </c>
      <c r="Q13">
        <f t="shared" si="1"/>
        <v>24384.15</v>
      </c>
    </row>
    <row r="14" spans="1:27" x14ac:dyDescent="0.3">
      <c r="K14" t="s">
        <v>312</v>
      </c>
      <c r="L14" s="9">
        <v>44406</v>
      </c>
      <c r="M14" t="s">
        <v>9</v>
      </c>
      <c r="N14" t="s">
        <v>120</v>
      </c>
      <c r="P14">
        <v>5000</v>
      </c>
      <c r="Q14">
        <f t="shared" si="1"/>
        <v>29384.15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15"/>
  <sheetViews>
    <sheetView workbookViewId="0">
      <selection activeCell="H25" sqref="H25"/>
    </sheetView>
  </sheetViews>
  <sheetFormatPr defaultRowHeight="14.4" x14ac:dyDescent="0.3"/>
  <cols>
    <col min="2" max="2" width="14.88671875" customWidth="1"/>
    <col min="12" max="12" width="10.33203125" bestFit="1" customWidth="1"/>
    <col min="22" max="22" width="10.33203125" bestFit="1" customWidth="1"/>
    <col min="23" max="23" width="13" customWidth="1"/>
  </cols>
  <sheetData>
    <row r="1" spans="1:27" ht="15" thickBot="1" x14ac:dyDescent="0.35">
      <c r="A1" s="4"/>
      <c r="B1" s="5" t="s">
        <v>122</v>
      </c>
      <c r="C1" s="5"/>
      <c r="D1" s="5"/>
      <c r="E1" s="5"/>
      <c r="F1" s="5"/>
      <c r="G1" s="6"/>
      <c r="K1" s="4"/>
      <c r="L1" s="5"/>
      <c r="M1" s="5" t="s">
        <v>123</v>
      </c>
      <c r="N1" s="5"/>
      <c r="O1" s="5"/>
      <c r="P1" s="5"/>
      <c r="Q1" s="6"/>
      <c r="U1" s="1"/>
      <c r="V1" s="2"/>
      <c r="W1" s="2" t="s">
        <v>123</v>
      </c>
      <c r="X1" s="2"/>
      <c r="Y1" s="2"/>
      <c r="Z1" s="2"/>
      <c r="AA1" s="3"/>
    </row>
    <row r="2" spans="1:27" ht="15" thickBot="1" x14ac:dyDescent="0.35">
      <c r="A2" s="4" t="s">
        <v>0</v>
      </c>
      <c r="B2" s="5" t="s">
        <v>1</v>
      </c>
      <c r="C2" s="5" t="s">
        <v>2</v>
      </c>
      <c r="D2" s="7" t="s">
        <v>2</v>
      </c>
      <c r="E2" s="5" t="s">
        <v>3</v>
      </c>
      <c r="F2" s="8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349</v>
      </c>
      <c r="B3" s="15">
        <v>44409</v>
      </c>
      <c r="C3" s="13" t="s">
        <v>8</v>
      </c>
      <c r="D3" s="13"/>
      <c r="E3" s="13"/>
      <c r="F3" s="13"/>
      <c r="G3" s="13">
        <v>7555</v>
      </c>
      <c r="J3" s="13"/>
      <c r="K3" s="13" t="s">
        <v>350</v>
      </c>
      <c r="L3" s="14">
        <v>44409</v>
      </c>
      <c r="M3" s="13" t="s">
        <v>8</v>
      </c>
      <c r="N3" s="13"/>
      <c r="O3" s="13"/>
      <c r="P3" s="13"/>
      <c r="Q3" s="13">
        <v>29384.15</v>
      </c>
      <c r="T3" s="13"/>
      <c r="U3" s="13" t="s">
        <v>351</v>
      </c>
      <c r="V3" s="14">
        <v>44409</v>
      </c>
      <c r="W3" s="13" t="s">
        <v>8</v>
      </c>
      <c r="X3" s="13"/>
      <c r="Y3" s="13"/>
      <c r="Z3" s="13"/>
      <c r="AA3" s="13">
        <v>65172.46</v>
      </c>
    </row>
    <row r="4" spans="1:27" x14ac:dyDescent="0.3">
      <c r="A4" t="s">
        <v>314</v>
      </c>
      <c r="B4" s="9">
        <v>44421</v>
      </c>
      <c r="C4" t="s">
        <v>13</v>
      </c>
      <c r="D4" t="s">
        <v>98</v>
      </c>
      <c r="E4">
        <v>220</v>
      </c>
      <c r="G4">
        <f>G3+F4-E4</f>
        <v>7335</v>
      </c>
      <c r="K4" t="s">
        <v>326</v>
      </c>
      <c r="L4" s="9">
        <v>44410</v>
      </c>
      <c r="M4" t="s">
        <v>60</v>
      </c>
      <c r="N4" t="s">
        <v>67</v>
      </c>
      <c r="O4">
        <v>5000</v>
      </c>
      <c r="Q4" s="13">
        <f>Q3+P4-O4</f>
        <v>24384.15</v>
      </c>
      <c r="U4" t="s">
        <v>336</v>
      </c>
      <c r="V4" s="9">
        <v>44420</v>
      </c>
      <c r="W4" t="s">
        <v>121</v>
      </c>
      <c r="X4" t="s">
        <v>128</v>
      </c>
      <c r="Z4">
        <v>484.66</v>
      </c>
      <c r="AA4">
        <f>AA3+Z4-Y4</f>
        <v>65657.119999999995</v>
      </c>
    </row>
    <row r="5" spans="1:27" x14ac:dyDescent="0.3">
      <c r="A5" t="s">
        <v>315</v>
      </c>
      <c r="B5" s="9">
        <v>44425</v>
      </c>
      <c r="C5" t="s">
        <v>129</v>
      </c>
      <c r="D5" t="s">
        <v>130</v>
      </c>
      <c r="E5">
        <v>100</v>
      </c>
      <c r="G5">
        <f t="shared" ref="G5:G14" si="0">G4+F5-E5</f>
        <v>7235</v>
      </c>
      <c r="K5" t="s">
        <v>325</v>
      </c>
      <c r="L5" s="9">
        <v>44413</v>
      </c>
      <c r="M5" t="s">
        <v>9</v>
      </c>
      <c r="N5" t="s">
        <v>276</v>
      </c>
      <c r="P5">
        <v>5000</v>
      </c>
      <c r="Q5" s="13">
        <f t="shared" ref="Q5:Q14" si="1">Q4+P5-O5</f>
        <v>29384.15</v>
      </c>
    </row>
    <row r="6" spans="1:27" x14ac:dyDescent="0.3">
      <c r="A6" t="s">
        <v>316</v>
      </c>
      <c r="B6" s="9">
        <v>44426</v>
      </c>
      <c r="C6" t="s">
        <v>129</v>
      </c>
      <c r="D6" t="s">
        <v>131</v>
      </c>
      <c r="E6">
        <v>205</v>
      </c>
      <c r="G6">
        <f t="shared" si="0"/>
        <v>7030</v>
      </c>
      <c r="K6" t="s">
        <v>327</v>
      </c>
      <c r="L6" s="9">
        <v>44414</v>
      </c>
      <c r="M6" t="s">
        <v>60</v>
      </c>
      <c r="N6" t="s">
        <v>124</v>
      </c>
      <c r="O6">
        <v>4500</v>
      </c>
      <c r="Q6" s="13">
        <f t="shared" si="1"/>
        <v>24884.15</v>
      </c>
    </row>
    <row r="7" spans="1:27" x14ac:dyDescent="0.3">
      <c r="A7" t="s">
        <v>317</v>
      </c>
      <c r="B7" s="9">
        <v>44426</v>
      </c>
      <c r="C7" t="s">
        <v>129</v>
      </c>
      <c r="D7" t="s">
        <v>131</v>
      </c>
      <c r="E7">
        <v>205</v>
      </c>
      <c r="G7">
        <f t="shared" si="0"/>
        <v>6825</v>
      </c>
      <c r="K7" t="s">
        <v>328</v>
      </c>
      <c r="L7" s="9">
        <v>44415</v>
      </c>
      <c r="M7" t="s">
        <v>9</v>
      </c>
      <c r="N7" t="s">
        <v>119</v>
      </c>
      <c r="P7">
        <v>5000</v>
      </c>
      <c r="Q7" s="13">
        <f t="shared" si="1"/>
        <v>29884.15</v>
      </c>
    </row>
    <row r="8" spans="1:27" x14ac:dyDescent="0.3">
      <c r="A8" t="s">
        <v>318</v>
      </c>
      <c r="B8" s="9">
        <v>44426</v>
      </c>
      <c r="C8" t="s">
        <v>129</v>
      </c>
      <c r="D8" t="s">
        <v>135</v>
      </c>
      <c r="E8">
        <v>1850</v>
      </c>
      <c r="G8">
        <f t="shared" si="0"/>
        <v>4975</v>
      </c>
      <c r="K8" t="s">
        <v>329</v>
      </c>
      <c r="L8" s="9">
        <v>44417</v>
      </c>
      <c r="M8" t="s">
        <v>60</v>
      </c>
      <c r="N8" t="s">
        <v>62</v>
      </c>
      <c r="O8">
        <v>3500</v>
      </c>
      <c r="Q8" s="13">
        <f t="shared" si="1"/>
        <v>26384.15</v>
      </c>
    </row>
    <row r="9" spans="1:27" x14ac:dyDescent="0.3">
      <c r="A9" t="s">
        <v>319</v>
      </c>
      <c r="B9" s="9">
        <v>44431</v>
      </c>
      <c r="C9" t="s">
        <v>129</v>
      </c>
      <c r="D9" t="s">
        <v>132</v>
      </c>
      <c r="E9">
        <v>850</v>
      </c>
      <c r="G9">
        <f t="shared" si="0"/>
        <v>4125</v>
      </c>
      <c r="K9" t="s">
        <v>330</v>
      </c>
      <c r="L9" s="9">
        <v>44424</v>
      </c>
      <c r="M9" t="s">
        <v>9</v>
      </c>
      <c r="N9" t="s">
        <v>125</v>
      </c>
      <c r="P9">
        <v>25000</v>
      </c>
      <c r="Q9" s="13">
        <f t="shared" si="1"/>
        <v>51384.15</v>
      </c>
    </row>
    <row r="10" spans="1:27" x14ac:dyDescent="0.3">
      <c r="A10" t="s">
        <v>320</v>
      </c>
      <c r="B10" s="9">
        <v>44431</v>
      </c>
      <c r="C10" t="s">
        <v>129</v>
      </c>
      <c r="D10" t="s">
        <v>132</v>
      </c>
      <c r="E10">
        <v>850</v>
      </c>
      <c r="G10">
        <f t="shared" si="0"/>
        <v>3275</v>
      </c>
      <c r="K10" t="s">
        <v>331</v>
      </c>
      <c r="L10" s="9">
        <v>44425</v>
      </c>
      <c r="M10" t="s">
        <v>60</v>
      </c>
      <c r="N10" t="s">
        <v>102</v>
      </c>
      <c r="O10">
        <v>6000</v>
      </c>
      <c r="Q10" s="13">
        <f t="shared" si="1"/>
        <v>45384.15</v>
      </c>
    </row>
    <row r="11" spans="1:27" x14ac:dyDescent="0.3">
      <c r="A11" t="s">
        <v>321</v>
      </c>
      <c r="B11" s="9">
        <v>44431</v>
      </c>
      <c r="C11" t="s">
        <v>129</v>
      </c>
      <c r="D11" t="s">
        <v>133</v>
      </c>
      <c r="E11">
        <v>288</v>
      </c>
      <c r="G11">
        <f t="shared" si="0"/>
        <v>2987</v>
      </c>
      <c r="K11" t="s">
        <v>332</v>
      </c>
      <c r="L11" s="9">
        <v>44425</v>
      </c>
      <c r="M11" t="s">
        <v>60</v>
      </c>
      <c r="N11" t="s">
        <v>68</v>
      </c>
      <c r="O11">
        <v>8700</v>
      </c>
      <c r="Q11" s="13">
        <f t="shared" si="1"/>
        <v>36684.15</v>
      </c>
    </row>
    <row r="12" spans="1:27" x14ac:dyDescent="0.3">
      <c r="A12" t="s">
        <v>322</v>
      </c>
      <c r="B12" s="9">
        <v>44431</v>
      </c>
      <c r="C12" t="s">
        <v>129</v>
      </c>
      <c r="D12" t="s">
        <v>133</v>
      </c>
      <c r="E12">
        <v>288</v>
      </c>
      <c r="G12">
        <f t="shared" si="0"/>
        <v>2699</v>
      </c>
      <c r="K12" t="s">
        <v>333</v>
      </c>
      <c r="L12" s="9">
        <v>44425</v>
      </c>
      <c r="M12" t="s">
        <v>60</v>
      </c>
      <c r="N12" t="s">
        <v>67</v>
      </c>
      <c r="O12">
        <v>5000</v>
      </c>
      <c r="Q12" s="13">
        <f t="shared" si="1"/>
        <v>31684.15</v>
      </c>
    </row>
    <row r="13" spans="1:27" x14ac:dyDescent="0.3">
      <c r="A13" t="s">
        <v>323</v>
      </c>
      <c r="B13" s="9">
        <v>44432</v>
      </c>
      <c r="C13" t="s">
        <v>13</v>
      </c>
      <c r="D13" t="s">
        <v>134</v>
      </c>
      <c r="E13">
        <v>589</v>
      </c>
      <c r="G13">
        <f t="shared" si="0"/>
        <v>2110</v>
      </c>
      <c r="K13" t="s">
        <v>334</v>
      </c>
      <c r="L13" s="9">
        <v>44427</v>
      </c>
      <c r="M13" t="s">
        <v>69</v>
      </c>
      <c r="N13" t="s">
        <v>70</v>
      </c>
      <c r="O13">
        <v>17500</v>
      </c>
      <c r="Q13" s="13">
        <f t="shared" si="1"/>
        <v>14184.150000000001</v>
      </c>
    </row>
    <row r="14" spans="1:27" x14ac:dyDescent="0.3">
      <c r="A14" t="s">
        <v>324</v>
      </c>
      <c r="B14" s="9">
        <v>44432</v>
      </c>
      <c r="C14" t="s">
        <v>20</v>
      </c>
      <c r="D14" t="s">
        <v>136</v>
      </c>
      <c r="E14">
        <v>290</v>
      </c>
      <c r="G14">
        <f t="shared" si="0"/>
        <v>1820</v>
      </c>
      <c r="K14" t="s">
        <v>335</v>
      </c>
      <c r="M14" t="s">
        <v>126</v>
      </c>
      <c r="N14" t="s">
        <v>127</v>
      </c>
      <c r="O14">
        <v>13105</v>
      </c>
      <c r="Q14" s="13">
        <f t="shared" si="1"/>
        <v>1079.1500000000015</v>
      </c>
    </row>
    <row r="15" spans="1:27" x14ac:dyDescent="0.3">
      <c r="Q15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AA4"/>
  <sheetViews>
    <sheetView topLeftCell="E1" workbookViewId="0">
      <selection activeCell="T11" sqref="T11"/>
    </sheetView>
  </sheetViews>
  <sheetFormatPr defaultRowHeight="14.4" x14ac:dyDescent="0.3"/>
  <cols>
    <col min="2" max="2" width="46.33203125" bestFit="1" customWidth="1"/>
  </cols>
  <sheetData>
    <row r="1" spans="1:27" ht="15" thickBot="1" x14ac:dyDescent="0.35">
      <c r="A1" s="4"/>
      <c r="B1" s="28" t="s">
        <v>6</v>
      </c>
      <c r="C1" s="5"/>
      <c r="D1" s="5"/>
      <c r="E1" s="5"/>
      <c r="F1" s="5"/>
      <c r="G1" s="6"/>
      <c r="K1" s="4"/>
      <c r="L1" s="5"/>
      <c r="M1" s="5" t="s">
        <v>7</v>
      </c>
      <c r="N1" s="5"/>
      <c r="O1" s="5"/>
      <c r="P1" s="5"/>
      <c r="Q1" s="6"/>
      <c r="U1" s="1"/>
      <c r="V1" s="2"/>
      <c r="W1" s="2" t="s">
        <v>7</v>
      </c>
      <c r="X1" s="2"/>
      <c r="Y1" s="2"/>
      <c r="Z1" s="2"/>
      <c r="AA1" s="3"/>
    </row>
    <row r="2" spans="1:27" ht="15" thickBot="1" x14ac:dyDescent="0.35">
      <c r="A2" s="4" t="s">
        <v>0</v>
      </c>
      <c r="B2" s="28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382</v>
      </c>
      <c r="B3" s="15">
        <v>44409</v>
      </c>
      <c r="C3" s="13" t="s">
        <v>8</v>
      </c>
      <c r="D3" s="13"/>
      <c r="E3" s="13"/>
      <c r="F3" s="13"/>
      <c r="G3">
        <f>August!G14</f>
        <v>1820</v>
      </c>
      <c r="K3" t="s">
        <v>383</v>
      </c>
      <c r="L3" s="15">
        <v>44409</v>
      </c>
      <c r="M3" s="13" t="s">
        <v>8</v>
      </c>
      <c r="N3" s="13"/>
      <c r="O3" s="13"/>
      <c r="P3" s="13"/>
      <c r="Q3">
        <f>August!Q14</f>
        <v>1079.1500000000015</v>
      </c>
      <c r="U3" t="s">
        <v>384</v>
      </c>
      <c r="V3" s="15">
        <v>44409</v>
      </c>
      <c r="W3" s="13" t="s">
        <v>8</v>
      </c>
      <c r="X3" s="13"/>
      <c r="Y3" s="13"/>
      <c r="Z3" s="13"/>
      <c r="AA3">
        <f>August!AA4</f>
        <v>65657.119999999995</v>
      </c>
    </row>
    <row r="4" spans="1:27" x14ac:dyDescent="0.3">
      <c r="A4" t="s">
        <v>403</v>
      </c>
      <c r="B4" s="9">
        <v>44421</v>
      </c>
      <c r="C4" t="s">
        <v>13</v>
      </c>
      <c r="D4" t="s">
        <v>98</v>
      </c>
      <c r="E4">
        <v>220</v>
      </c>
      <c r="G4">
        <f>G3+F4-E4</f>
        <v>1600</v>
      </c>
      <c r="K4" t="s">
        <v>404</v>
      </c>
      <c r="L4" s="9">
        <v>44424</v>
      </c>
      <c r="M4" t="s">
        <v>9</v>
      </c>
      <c r="N4" t="s">
        <v>125</v>
      </c>
      <c r="P4">
        <v>25000</v>
      </c>
      <c r="Q4" s="13">
        <f t="shared" ref="Q4" si="0">Q3+P4-O4</f>
        <v>26079.15</v>
      </c>
      <c r="U4" t="s">
        <v>405</v>
      </c>
      <c r="V4" s="9">
        <v>44424</v>
      </c>
      <c r="W4" t="s">
        <v>9</v>
      </c>
      <c r="X4" t="s">
        <v>125</v>
      </c>
      <c r="Z4">
        <v>25000</v>
      </c>
      <c r="AA4" s="13">
        <f t="shared" ref="AA4" si="1">AA3+Z4-Y4</f>
        <v>90657.12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AA3"/>
  <sheetViews>
    <sheetView topLeftCell="E1" workbookViewId="0">
      <selection activeCell="AA3" sqref="AA3"/>
    </sheetView>
  </sheetViews>
  <sheetFormatPr defaultRowHeight="14.4" x14ac:dyDescent="0.3"/>
  <sheetData>
    <row r="1" spans="1:27" ht="15" thickBot="1" x14ac:dyDescent="0.35">
      <c r="A1" s="4"/>
      <c r="B1" s="28" t="s">
        <v>6</v>
      </c>
      <c r="C1" s="5"/>
      <c r="D1" s="5"/>
      <c r="E1" s="5"/>
      <c r="F1" s="5"/>
      <c r="G1" s="6"/>
      <c r="K1" s="4"/>
      <c r="L1" s="5"/>
      <c r="M1" s="5" t="s">
        <v>7</v>
      </c>
      <c r="N1" s="5"/>
      <c r="O1" s="5"/>
      <c r="P1" s="5"/>
      <c r="Q1" s="6"/>
      <c r="U1" s="1"/>
      <c r="V1" s="2"/>
      <c r="W1" s="2" t="s">
        <v>7</v>
      </c>
      <c r="X1" s="2"/>
      <c r="Y1" s="2"/>
      <c r="Z1" s="2"/>
      <c r="AA1" s="3"/>
    </row>
    <row r="2" spans="1:27" ht="15" thickBot="1" x14ac:dyDescent="0.35">
      <c r="A2" s="4" t="s">
        <v>0</v>
      </c>
      <c r="B2" s="28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385</v>
      </c>
      <c r="B3" s="15">
        <v>44409</v>
      </c>
      <c r="C3" s="13" t="s">
        <v>8</v>
      </c>
      <c r="D3" s="13"/>
      <c r="E3" s="13"/>
      <c r="F3" s="13"/>
      <c r="G3">
        <v>20000</v>
      </c>
      <c r="K3" t="s">
        <v>386</v>
      </c>
      <c r="L3" s="15">
        <v>44409</v>
      </c>
      <c r="M3" s="13" t="s">
        <v>8</v>
      </c>
      <c r="N3" s="13"/>
      <c r="O3" s="13"/>
      <c r="P3" s="13"/>
      <c r="Q3">
        <v>20000</v>
      </c>
      <c r="U3" t="s">
        <v>387</v>
      </c>
      <c r="V3" s="15">
        <v>44409</v>
      </c>
      <c r="W3" s="13" t="s">
        <v>8</v>
      </c>
      <c r="X3" s="13"/>
      <c r="Y3" s="13"/>
      <c r="Z3" s="13"/>
      <c r="AA3">
        <v>20000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A3"/>
  <sheetViews>
    <sheetView topLeftCell="E1" workbookViewId="0">
      <selection activeCell="AA3" sqref="AA3"/>
    </sheetView>
  </sheetViews>
  <sheetFormatPr defaultRowHeight="14.4" x14ac:dyDescent="0.3"/>
  <cols>
    <col min="2" max="2" width="10.33203125" bestFit="1" customWidth="1"/>
  </cols>
  <sheetData>
    <row r="1" spans="1:27" ht="15" thickBot="1" x14ac:dyDescent="0.35">
      <c r="A1" s="4"/>
      <c r="B1" s="28" t="s">
        <v>6</v>
      </c>
      <c r="C1" s="5"/>
      <c r="D1" s="5"/>
      <c r="E1" s="5"/>
      <c r="F1" s="5"/>
      <c r="G1" s="6"/>
      <c r="K1" s="4"/>
      <c r="L1" s="5"/>
      <c r="M1" s="5" t="s">
        <v>7</v>
      </c>
      <c r="N1" s="5"/>
      <c r="O1" s="5"/>
      <c r="P1" s="5"/>
      <c r="Q1" s="6"/>
      <c r="U1" s="1"/>
      <c r="V1" s="2"/>
      <c r="W1" s="2" t="s">
        <v>7</v>
      </c>
      <c r="X1" s="2"/>
      <c r="Y1" s="2"/>
      <c r="Z1" s="2"/>
      <c r="AA1" s="3"/>
    </row>
    <row r="2" spans="1:27" ht="15" thickBot="1" x14ac:dyDescent="0.35">
      <c r="A2" s="4" t="s">
        <v>0</v>
      </c>
      <c r="B2" s="28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388</v>
      </c>
      <c r="B3" s="15">
        <v>44409</v>
      </c>
      <c r="C3" s="13" t="s">
        <v>8</v>
      </c>
      <c r="D3" s="13"/>
      <c r="E3" s="13"/>
      <c r="F3" s="13"/>
      <c r="G3">
        <v>20000</v>
      </c>
      <c r="K3" t="s">
        <v>389</v>
      </c>
      <c r="L3" s="15">
        <v>44409</v>
      </c>
      <c r="M3" s="13" t="s">
        <v>8</v>
      </c>
      <c r="N3" s="13"/>
      <c r="O3" s="13"/>
      <c r="P3" s="13"/>
      <c r="Q3">
        <v>20000</v>
      </c>
      <c r="U3" t="s">
        <v>390</v>
      </c>
      <c r="V3" s="15">
        <v>44409</v>
      </c>
      <c r="W3" s="13" t="s">
        <v>8</v>
      </c>
      <c r="X3" s="13"/>
      <c r="Y3" s="13"/>
      <c r="Z3" s="13"/>
      <c r="AA3">
        <v>20000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AA3"/>
  <sheetViews>
    <sheetView topLeftCell="E1" workbookViewId="0">
      <selection activeCell="AA3" sqref="AA3"/>
    </sheetView>
  </sheetViews>
  <sheetFormatPr defaultRowHeight="14.4" x14ac:dyDescent="0.3"/>
  <sheetData>
    <row r="1" spans="1:27" ht="15" thickBot="1" x14ac:dyDescent="0.35">
      <c r="A1" s="4"/>
      <c r="B1" s="28" t="s">
        <v>6</v>
      </c>
      <c r="C1" s="5"/>
      <c r="D1" s="5"/>
      <c r="E1" s="5"/>
      <c r="F1" s="5"/>
      <c r="G1" s="6"/>
      <c r="K1" s="4"/>
      <c r="L1" s="5"/>
      <c r="M1" s="5" t="s">
        <v>7</v>
      </c>
      <c r="N1" s="5"/>
      <c r="O1" s="5"/>
      <c r="P1" s="5"/>
      <c r="Q1" s="6"/>
      <c r="U1" s="1"/>
      <c r="V1" s="2"/>
      <c r="W1" s="2" t="s">
        <v>7</v>
      </c>
      <c r="X1" s="2"/>
      <c r="Y1" s="2"/>
      <c r="Z1" s="2"/>
      <c r="AA1" s="3"/>
    </row>
    <row r="2" spans="1:27" ht="15" thickBot="1" x14ac:dyDescent="0.35">
      <c r="A2" s="4" t="s">
        <v>0</v>
      </c>
      <c r="B2" s="28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391</v>
      </c>
      <c r="B3" s="15">
        <v>44409</v>
      </c>
      <c r="C3" s="13" t="s">
        <v>8</v>
      </c>
      <c r="D3" s="13"/>
      <c r="E3" s="13"/>
      <c r="F3" s="13"/>
      <c r="G3">
        <v>20000</v>
      </c>
      <c r="K3" t="s">
        <v>392</v>
      </c>
      <c r="L3" s="15">
        <v>44409</v>
      </c>
      <c r="M3" s="13" t="s">
        <v>8</v>
      </c>
      <c r="N3" s="13"/>
      <c r="O3" s="13"/>
      <c r="P3" s="13"/>
      <c r="Q3">
        <v>20000</v>
      </c>
      <c r="U3" t="s">
        <v>393</v>
      </c>
      <c r="V3" s="15">
        <v>44409</v>
      </c>
      <c r="W3" s="13" t="s">
        <v>8</v>
      </c>
      <c r="X3" s="13"/>
      <c r="Y3" s="13"/>
      <c r="Z3" s="13"/>
      <c r="AA3">
        <v>20000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1:AA3"/>
  <sheetViews>
    <sheetView topLeftCell="E1" workbookViewId="0">
      <selection activeCell="AA3" sqref="AA3"/>
    </sheetView>
  </sheetViews>
  <sheetFormatPr defaultRowHeight="14.4" x14ac:dyDescent="0.3"/>
  <sheetData>
    <row r="1" spans="1:27" ht="15" thickBot="1" x14ac:dyDescent="0.35">
      <c r="A1" s="4"/>
      <c r="B1" s="28" t="s">
        <v>6</v>
      </c>
      <c r="C1" s="5"/>
      <c r="D1" s="5"/>
      <c r="E1" s="5"/>
      <c r="F1" s="5"/>
      <c r="G1" s="6"/>
      <c r="K1" s="4"/>
      <c r="L1" s="5"/>
      <c r="M1" s="5" t="s">
        <v>7</v>
      </c>
      <c r="N1" s="5"/>
      <c r="O1" s="5"/>
      <c r="P1" s="5"/>
      <c r="Q1" s="6"/>
      <c r="U1" s="1"/>
      <c r="V1" s="2"/>
      <c r="W1" s="2" t="s">
        <v>7</v>
      </c>
      <c r="X1" s="2"/>
      <c r="Y1" s="2"/>
      <c r="Z1" s="2"/>
      <c r="AA1" s="3"/>
    </row>
    <row r="2" spans="1:27" ht="15" thickBot="1" x14ac:dyDescent="0.35">
      <c r="A2" s="4" t="s">
        <v>0</v>
      </c>
      <c r="B2" s="28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394</v>
      </c>
      <c r="B3" s="15">
        <v>44409</v>
      </c>
      <c r="C3" s="13" t="s">
        <v>8</v>
      </c>
      <c r="D3" s="13"/>
      <c r="E3" s="13"/>
      <c r="F3" s="13"/>
      <c r="G3">
        <v>20000</v>
      </c>
      <c r="K3" t="s">
        <v>395</v>
      </c>
      <c r="L3" s="15">
        <v>44409</v>
      </c>
      <c r="M3" s="13" t="s">
        <v>8</v>
      </c>
      <c r="N3" s="13"/>
      <c r="O3" s="13"/>
      <c r="P3" s="13"/>
      <c r="Q3">
        <v>20000</v>
      </c>
      <c r="U3" t="s">
        <v>396</v>
      </c>
      <c r="V3" s="15">
        <v>44409</v>
      </c>
      <c r="W3" s="13" t="s">
        <v>8</v>
      </c>
      <c r="X3" s="13"/>
      <c r="Y3" s="13"/>
      <c r="Z3" s="13"/>
      <c r="AA3">
        <v>20000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AA3"/>
  <sheetViews>
    <sheetView topLeftCell="E1" workbookViewId="0">
      <selection activeCell="AA3" sqref="AA3"/>
    </sheetView>
  </sheetViews>
  <sheetFormatPr defaultRowHeight="14.4" x14ac:dyDescent="0.3"/>
  <sheetData>
    <row r="1" spans="1:27" ht="15" thickBot="1" x14ac:dyDescent="0.35">
      <c r="A1" s="4"/>
      <c r="B1" s="28" t="s">
        <v>6</v>
      </c>
      <c r="C1" s="5"/>
      <c r="D1" s="5"/>
      <c r="E1" s="5"/>
      <c r="F1" s="5"/>
      <c r="G1" s="6"/>
      <c r="K1" s="4"/>
      <c r="L1" s="5"/>
      <c r="M1" s="5" t="s">
        <v>7</v>
      </c>
      <c r="N1" s="5"/>
      <c r="O1" s="5"/>
      <c r="P1" s="5"/>
      <c r="Q1" s="6"/>
      <c r="U1" s="1"/>
      <c r="V1" s="2"/>
      <c r="W1" s="2" t="s">
        <v>7</v>
      </c>
      <c r="X1" s="2"/>
      <c r="Y1" s="2"/>
      <c r="Z1" s="2"/>
      <c r="AA1" s="3"/>
    </row>
    <row r="2" spans="1:27" ht="15" thickBot="1" x14ac:dyDescent="0.35">
      <c r="A2" s="4" t="s">
        <v>0</v>
      </c>
      <c r="B2" s="28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397</v>
      </c>
      <c r="B3" s="15">
        <v>44409</v>
      </c>
      <c r="C3" s="13" t="s">
        <v>8</v>
      </c>
      <c r="D3" s="13"/>
      <c r="E3" s="13"/>
      <c r="F3" s="13"/>
      <c r="G3">
        <v>20000</v>
      </c>
      <c r="K3" t="s">
        <v>398</v>
      </c>
      <c r="L3" s="15">
        <v>44409</v>
      </c>
      <c r="M3" s="13" t="s">
        <v>8</v>
      </c>
      <c r="N3" s="13"/>
      <c r="O3" s="13"/>
      <c r="P3" s="13"/>
      <c r="Q3">
        <v>20000</v>
      </c>
      <c r="U3" t="s">
        <v>399</v>
      </c>
      <c r="V3" s="15">
        <v>44409</v>
      </c>
      <c r="W3" s="13" t="s">
        <v>8</v>
      </c>
      <c r="X3" s="13"/>
      <c r="Y3" s="13"/>
      <c r="Z3" s="13"/>
      <c r="AA3">
        <v>20000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AA5"/>
  <sheetViews>
    <sheetView topLeftCell="P1" workbookViewId="0">
      <selection activeCell="AA3" sqref="AA3"/>
    </sheetView>
  </sheetViews>
  <sheetFormatPr defaultRowHeight="14.4" x14ac:dyDescent="0.3"/>
  <cols>
    <col min="2" max="2" width="46.33203125" bestFit="1" customWidth="1"/>
    <col min="12" max="12" width="10.33203125" bestFit="1" customWidth="1"/>
  </cols>
  <sheetData>
    <row r="1" spans="1:27" ht="15" thickBot="1" x14ac:dyDescent="0.35">
      <c r="A1" s="4"/>
      <c r="B1" s="28" t="s">
        <v>6</v>
      </c>
      <c r="C1" s="5"/>
      <c r="D1" s="5"/>
      <c r="E1" s="5"/>
      <c r="F1" s="5"/>
      <c r="G1" s="6"/>
      <c r="K1" s="4"/>
      <c r="L1" s="5"/>
      <c r="M1" s="5" t="s">
        <v>7</v>
      </c>
      <c r="N1" s="5"/>
      <c r="O1" s="5"/>
      <c r="P1" s="5"/>
      <c r="Q1" s="6"/>
      <c r="U1" s="1"/>
      <c r="V1" s="2"/>
      <c r="W1" s="2" t="s">
        <v>7</v>
      </c>
      <c r="X1" s="2"/>
      <c r="Y1" s="2"/>
      <c r="Z1" s="2"/>
      <c r="AA1" s="3"/>
    </row>
    <row r="2" spans="1:27" ht="15" thickBot="1" x14ac:dyDescent="0.35">
      <c r="A2" s="4" t="s">
        <v>0</v>
      </c>
      <c r="B2" s="28" t="s">
        <v>1</v>
      </c>
      <c r="C2" s="5" t="s">
        <v>2</v>
      </c>
      <c r="D2" s="7" t="s">
        <v>2</v>
      </c>
      <c r="E2" s="5" t="s">
        <v>3</v>
      </c>
      <c r="F2" s="7" t="s">
        <v>4</v>
      </c>
      <c r="G2" s="6" t="s">
        <v>5</v>
      </c>
      <c r="K2" s="8" t="s">
        <v>0</v>
      </c>
      <c r="L2" s="8" t="s">
        <v>1</v>
      </c>
      <c r="M2" s="8" t="s">
        <v>2</v>
      </c>
      <c r="N2" s="8" t="s">
        <v>2</v>
      </c>
      <c r="O2" s="8" t="s">
        <v>3</v>
      </c>
      <c r="P2" s="8" t="s">
        <v>4</v>
      </c>
      <c r="Q2" s="8" t="s">
        <v>5</v>
      </c>
      <c r="U2" s="7" t="s">
        <v>0</v>
      </c>
      <c r="V2" s="7" t="s">
        <v>1</v>
      </c>
      <c r="W2" s="7" t="s">
        <v>2</v>
      </c>
      <c r="X2" s="7" t="s">
        <v>2</v>
      </c>
      <c r="Y2" s="7" t="s">
        <v>3</v>
      </c>
      <c r="Z2" s="7" t="s">
        <v>4</v>
      </c>
      <c r="AA2" s="7" t="s">
        <v>5</v>
      </c>
    </row>
    <row r="3" spans="1:27" x14ac:dyDescent="0.3">
      <c r="A3" t="s">
        <v>400</v>
      </c>
      <c r="B3" s="15">
        <v>44409</v>
      </c>
      <c r="C3" s="13" t="s">
        <v>8</v>
      </c>
      <c r="D3" s="13"/>
      <c r="E3" s="13"/>
      <c r="F3" s="13"/>
      <c r="G3">
        <v>60000</v>
      </c>
      <c r="K3" t="s">
        <v>401</v>
      </c>
      <c r="L3" s="15">
        <v>44409</v>
      </c>
      <c r="M3" s="13" t="s">
        <v>8</v>
      </c>
      <c r="N3" s="13"/>
      <c r="O3" s="13"/>
      <c r="P3" s="13"/>
      <c r="Q3">
        <v>60000</v>
      </c>
      <c r="U3" t="s">
        <v>402</v>
      </c>
      <c r="V3" s="15">
        <v>44409</v>
      </c>
      <c r="W3" s="13" t="s">
        <v>8</v>
      </c>
      <c r="X3" s="13"/>
      <c r="Y3" s="13"/>
      <c r="Z3" s="13"/>
      <c r="AA3">
        <v>60000</v>
      </c>
    </row>
    <row r="4" spans="1:27" x14ac:dyDescent="0.3">
      <c r="A4" t="s">
        <v>409</v>
      </c>
      <c r="B4" s="9">
        <v>44287</v>
      </c>
      <c r="C4" t="s">
        <v>13</v>
      </c>
      <c r="D4" t="s">
        <v>14</v>
      </c>
      <c r="E4">
        <v>175</v>
      </c>
      <c r="G4">
        <f>G3+F4-E4</f>
        <v>59825</v>
      </c>
      <c r="K4" t="s">
        <v>406</v>
      </c>
      <c r="L4" s="9">
        <v>44302</v>
      </c>
      <c r="M4" t="s">
        <v>69</v>
      </c>
      <c r="N4" t="s">
        <v>70</v>
      </c>
      <c r="O4">
        <v>17500</v>
      </c>
      <c r="Q4">
        <f>Q3+P4-O4</f>
        <v>42500</v>
      </c>
    </row>
    <row r="5" spans="1:27" x14ac:dyDescent="0.3">
      <c r="A5" t="s">
        <v>410</v>
      </c>
      <c r="B5" s="9">
        <v>44292</v>
      </c>
      <c r="C5" t="s">
        <v>13</v>
      </c>
      <c r="D5" t="s">
        <v>22</v>
      </c>
      <c r="E5">
        <v>1640</v>
      </c>
      <c r="G5">
        <f t="shared" ref="G5" si="0">G4+F5-E5</f>
        <v>58185</v>
      </c>
      <c r="K5" t="s">
        <v>407</v>
      </c>
      <c r="L5" s="9">
        <v>44302</v>
      </c>
      <c r="M5" t="s">
        <v>60</v>
      </c>
      <c r="N5" t="s">
        <v>68</v>
      </c>
      <c r="O5">
        <v>13050</v>
      </c>
      <c r="Q5">
        <f t="shared" ref="Q5" si="1">Q4+P5-O5</f>
        <v>29450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D42"/>
  <sheetViews>
    <sheetView zoomScale="69" zoomScaleNormal="69" workbookViewId="0">
      <selection activeCell="N34" sqref="N34"/>
    </sheetView>
  </sheetViews>
  <sheetFormatPr defaultRowHeight="14.4" x14ac:dyDescent="0.3"/>
  <cols>
    <col min="1" max="1" width="11.109375" bestFit="1" customWidth="1"/>
    <col min="2" max="2" width="19.6640625" style="18" customWidth="1"/>
    <col min="3" max="4" width="21.44140625" bestFit="1" customWidth="1"/>
    <col min="8" max="8" width="14.6640625" customWidth="1"/>
    <col min="9" max="10" width="12.109375" bestFit="1" customWidth="1"/>
    <col min="11" max="11" width="30.44140625" bestFit="1" customWidth="1"/>
    <col min="12" max="12" width="24.33203125" bestFit="1" customWidth="1"/>
    <col min="13" max="13" width="9.33203125" bestFit="1" customWidth="1"/>
    <col min="18" max="18" width="10.33203125" bestFit="1" customWidth="1"/>
    <col min="22" max="22" width="9.88671875" customWidth="1"/>
    <col min="24" max="24" width="4.33203125" customWidth="1"/>
    <col min="25" max="25" width="18.109375" customWidth="1"/>
  </cols>
  <sheetData>
    <row r="1" spans="1:30" ht="15" thickBot="1" x14ac:dyDescent="0.35">
      <c r="A1" s="4"/>
      <c r="B1" s="10" t="s">
        <v>6</v>
      </c>
      <c r="C1" s="5"/>
      <c r="D1" s="5"/>
      <c r="E1" s="5"/>
      <c r="F1" s="5"/>
      <c r="G1" s="6"/>
      <c r="I1" s="4"/>
      <c r="J1" s="5"/>
      <c r="K1" s="5" t="s">
        <v>7</v>
      </c>
      <c r="L1" s="5"/>
      <c r="M1" s="5"/>
      <c r="N1" s="5"/>
      <c r="O1" s="6"/>
    </row>
    <row r="2" spans="1:30" ht="16.2" thickBot="1" x14ac:dyDescent="0.35">
      <c r="A2" s="4" t="s">
        <v>0</v>
      </c>
      <c r="B2" s="10" t="s">
        <v>1</v>
      </c>
      <c r="C2" s="5" t="s">
        <v>137</v>
      </c>
      <c r="D2" s="7" t="s">
        <v>2</v>
      </c>
      <c r="E2" s="5" t="s">
        <v>3</v>
      </c>
      <c r="F2" s="7" t="s">
        <v>4</v>
      </c>
      <c r="G2" s="6" t="s">
        <v>5</v>
      </c>
      <c r="I2" s="8" t="s">
        <v>0</v>
      </c>
      <c r="J2" s="8" t="s">
        <v>1</v>
      </c>
      <c r="K2" s="8" t="s">
        <v>2</v>
      </c>
      <c r="L2" s="8" t="s">
        <v>2</v>
      </c>
      <c r="M2" s="8" t="s">
        <v>3</v>
      </c>
      <c r="N2" s="8" t="s">
        <v>4</v>
      </c>
      <c r="O2" s="8" t="s">
        <v>5</v>
      </c>
      <c r="Q2" s="1"/>
      <c r="R2" s="2"/>
      <c r="S2" s="2" t="s">
        <v>7</v>
      </c>
      <c r="T2" s="2"/>
      <c r="U2" s="2"/>
      <c r="V2" s="2"/>
      <c r="W2" s="3"/>
      <c r="Y2" s="20">
        <v>43556</v>
      </c>
      <c r="Z2" s="19" t="s">
        <v>8</v>
      </c>
      <c r="AA2" s="19"/>
      <c r="AB2" s="19"/>
      <c r="AC2" s="19"/>
      <c r="AD2" s="21">
        <v>66824</v>
      </c>
    </row>
    <row r="3" spans="1:30" ht="15" thickBot="1" x14ac:dyDescent="0.35">
      <c r="B3" s="16">
        <v>44200</v>
      </c>
      <c r="C3" t="s">
        <v>8</v>
      </c>
      <c r="G3">
        <v>2514</v>
      </c>
      <c r="J3" s="9">
        <v>44200</v>
      </c>
      <c r="K3" t="s">
        <v>8</v>
      </c>
      <c r="O3">
        <v>166078.70000000001</v>
      </c>
      <c r="Q3" s="7" t="s">
        <v>0</v>
      </c>
      <c r="R3" s="7" t="s">
        <v>1</v>
      </c>
      <c r="S3" s="7" t="s">
        <v>2</v>
      </c>
      <c r="T3" s="7" t="s">
        <v>2</v>
      </c>
      <c r="U3" s="7" t="s">
        <v>3</v>
      </c>
      <c r="V3" s="7" t="s">
        <v>4</v>
      </c>
      <c r="W3" s="7" t="s">
        <v>5</v>
      </c>
    </row>
    <row r="4" spans="1:30" x14ac:dyDescent="0.3">
      <c r="R4" s="9">
        <v>44200</v>
      </c>
      <c r="S4" t="s">
        <v>8</v>
      </c>
      <c r="W4">
        <v>29791.5</v>
      </c>
    </row>
    <row r="5" spans="1:30" x14ac:dyDescent="0.3">
      <c r="A5" t="s">
        <v>138</v>
      </c>
      <c r="B5" s="16">
        <v>44200</v>
      </c>
      <c r="C5" t="s">
        <v>13</v>
      </c>
      <c r="D5" t="s">
        <v>14</v>
      </c>
      <c r="E5">
        <v>175</v>
      </c>
      <c r="G5">
        <f>G3+F5-E5</f>
        <v>2339</v>
      </c>
      <c r="I5" t="s">
        <v>176</v>
      </c>
      <c r="J5" s="9">
        <v>44259</v>
      </c>
      <c r="K5" t="s">
        <v>9</v>
      </c>
      <c r="L5" t="s">
        <v>10</v>
      </c>
      <c r="N5">
        <v>5000</v>
      </c>
      <c r="O5">
        <f>O3+N5-M5</f>
        <v>171078.7</v>
      </c>
    </row>
    <row r="6" spans="1:30" x14ac:dyDescent="0.3">
      <c r="A6" t="s">
        <v>139</v>
      </c>
      <c r="B6" s="16">
        <v>44320</v>
      </c>
      <c r="C6" t="s">
        <v>15</v>
      </c>
      <c r="D6" t="s">
        <v>16</v>
      </c>
      <c r="E6">
        <v>530</v>
      </c>
      <c r="G6">
        <f t="shared" ref="G6:G42" si="0">G5+F6-E6</f>
        <v>1809</v>
      </c>
      <c r="I6" t="s">
        <v>177</v>
      </c>
      <c r="J6" s="9">
        <v>44320</v>
      </c>
      <c r="K6" t="s">
        <v>11</v>
      </c>
      <c r="L6" t="s">
        <v>12</v>
      </c>
      <c r="M6">
        <v>236</v>
      </c>
      <c r="O6">
        <f t="shared" ref="O6:O23" si="1">O5+N6-M6</f>
        <v>170842.7</v>
      </c>
      <c r="R6" s="9">
        <v>44200</v>
      </c>
      <c r="S6" t="s">
        <v>9</v>
      </c>
      <c r="T6" t="s">
        <v>77</v>
      </c>
      <c r="V6">
        <v>25000</v>
      </c>
      <c r="W6">
        <f>W4+V6-U6</f>
        <v>54791.5</v>
      </c>
    </row>
    <row r="7" spans="1:30" x14ac:dyDescent="0.3">
      <c r="A7" t="s">
        <v>140</v>
      </c>
      <c r="B7" s="17">
        <v>44351</v>
      </c>
      <c r="C7" s="11" t="s">
        <v>17</v>
      </c>
      <c r="D7" s="11" t="s">
        <v>18</v>
      </c>
      <c r="E7" s="11"/>
      <c r="F7" s="11">
        <v>15000</v>
      </c>
      <c r="G7">
        <f t="shared" si="0"/>
        <v>16809</v>
      </c>
      <c r="I7" t="s">
        <v>178</v>
      </c>
      <c r="J7" s="12">
        <v>44351</v>
      </c>
      <c r="K7" s="11" t="s">
        <v>57</v>
      </c>
      <c r="L7" s="11" t="s">
        <v>18</v>
      </c>
      <c r="M7" s="11">
        <v>15000</v>
      </c>
      <c r="N7" s="11"/>
      <c r="O7" s="11">
        <f t="shared" si="1"/>
        <v>155842.70000000001</v>
      </c>
      <c r="V7">
        <f>V6</f>
        <v>25000</v>
      </c>
    </row>
    <row r="8" spans="1:30" x14ac:dyDescent="0.3">
      <c r="A8" t="s">
        <v>141</v>
      </c>
      <c r="B8" s="16">
        <v>44320</v>
      </c>
      <c r="C8" t="s">
        <v>15</v>
      </c>
      <c r="D8" t="s">
        <v>19</v>
      </c>
      <c r="E8">
        <v>462</v>
      </c>
      <c r="G8">
        <f t="shared" si="0"/>
        <v>16347</v>
      </c>
      <c r="I8" t="s">
        <v>179</v>
      </c>
      <c r="J8" s="9">
        <v>44351</v>
      </c>
      <c r="K8" t="s">
        <v>58</v>
      </c>
      <c r="L8" t="s">
        <v>59</v>
      </c>
      <c r="M8">
        <v>4227</v>
      </c>
      <c r="O8">
        <f t="shared" si="1"/>
        <v>151615.70000000001</v>
      </c>
    </row>
    <row r="9" spans="1:30" x14ac:dyDescent="0.3">
      <c r="A9" t="s">
        <v>142</v>
      </c>
      <c r="B9" s="16">
        <v>44351</v>
      </c>
      <c r="C9" t="s">
        <v>20</v>
      </c>
      <c r="D9" t="s">
        <v>21</v>
      </c>
      <c r="E9">
        <v>220</v>
      </c>
      <c r="G9">
        <f t="shared" si="0"/>
        <v>16127</v>
      </c>
      <c r="I9" t="s">
        <v>180</v>
      </c>
      <c r="J9" s="9">
        <v>44381</v>
      </c>
      <c r="K9" t="s">
        <v>60</v>
      </c>
      <c r="L9" t="s">
        <v>61</v>
      </c>
      <c r="M9">
        <v>6750</v>
      </c>
      <c r="O9">
        <f t="shared" si="1"/>
        <v>144865.70000000001</v>
      </c>
    </row>
    <row r="10" spans="1:30" x14ac:dyDescent="0.3">
      <c r="A10" t="s">
        <v>143</v>
      </c>
      <c r="B10" s="16">
        <v>44351</v>
      </c>
      <c r="C10" t="s">
        <v>13</v>
      </c>
      <c r="D10" t="s">
        <v>22</v>
      </c>
      <c r="E10">
        <v>1640</v>
      </c>
      <c r="G10">
        <f t="shared" si="0"/>
        <v>14487</v>
      </c>
      <c r="I10" t="s">
        <v>181</v>
      </c>
      <c r="J10" s="9">
        <v>44381</v>
      </c>
      <c r="K10" t="s">
        <v>60</v>
      </c>
      <c r="L10" t="s">
        <v>62</v>
      </c>
      <c r="M10">
        <v>5250</v>
      </c>
      <c r="O10">
        <f t="shared" si="1"/>
        <v>139615.70000000001</v>
      </c>
    </row>
    <row r="11" spans="1:30" x14ac:dyDescent="0.3">
      <c r="A11" t="s">
        <v>144</v>
      </c>
      <c r="B11" s="16">
        <v>44351</v>
      </c>
      <c r="C11" t="s">
        <v>23</v>
      </c>
      <c r="D11" t="s">
        <v>24</v>
      </c>
      <c r="E11">
        <v>120</v>
      </c>
      <c r="G11">
        <f t="shared" si="0"/>
        <v>14367</v>
      </c>
      <c r="I11" t="s">
        <v>182</v>
      </c>
      <c r="J11" s="9">
        <v>44412</v>
      </c>
      <c r="K11" t="s">
        <v>11</v>
      </c>
      <c r="L11" t="s">
        <v>12</v>
      </c>
      <c r="M11">
        <v>118</v>
      </c>
      <c r="O11">
        <f t="shared" si="1"/>
        <v>139497.70000000001</v>
      </c>
    </row>
    <row r="12" spans="1:30" x14ac:dyDescent="0.3">
      <c r="A12" t="s">
        <v>145</v>
      </c>
      <c r="B12" s="16">
        <v>44381</v>
      </c>
      <c r="C12" t="s">
        <v>23</v>
      </c>
      <c r="D12" t="s">
        <v>25</v>
      </c>
      <c r="E12">
        <v>780</v>
      </c>
      <c r="G12">
        <f t="shared" si="0"/>
        <v>13587</v>
      </c>
      <c r="I12" t="s">
        <v>183</v>
      </c>
      <c r="J12" s="9" t="s">
        <v>63</v>
      </c>
      <c r="K12" t="s">
        <v>9</v>
      </c>
      <c r="L12" t="s">
        <v>64</v>
      </c>
      <c r="N12">
        <v>4000</v>
      </c>
      <c r="O12">
        <f t="shared" si="1"/>
        <v>143497.70000000001</v>
      </c>
    </row>
    <row r="13" spans="1:30" x14ac:dyDescent="0.3">
      <c r="A13" t="s">
        <v>146</v>
      </c>
      <c r="B13" s="16">
        <v>44381</v>
      </c>
      <c r="C13" t="s">
        <v>20</v>
      </c>
      <c r="D13" t="s">
        <v>26</v>
      </c>
      <c r="E13">
        <v>78</v>
      </c>
      <c r="G13">
        <f t="shared" si="0"/>
        <v>13509</v>
      </c>
      <c r="I13" t="s">
        <v>184</v>
      </c>
      <c r="J13" s="9" t="s">
        <v>63</v>
      </c>
      <c r="K13" t="s">
        <v>9</v>
      </c>
      <c r="L13" t="s">
        <v>65</v>
      </c>
      <c r="N13">
        <v>9000</v>
      </c>
      <c r="O13">
        <f t="shared" si="1"/>
        <v>152497.70000000001</v>
      </c>
    </row>
    <row r="14" spans="1:30" x14ac:dyDescent="0.3">
      <c r="A14" t="s">
        <v>147</v>
      </c>
      <c r="B14" s="16">
        <v>44412</v>
      </c>
      <c r="C14" t="s">
        <v>23</v>
      </c>
      <c r="D14" t="s">
        <v>27</v>
      </c>
      <c r="E14">
        <v>391</v>
      </c>
      <c r="G14">
        <f t="shared" si="0"/>
        <v>13118</v>
      </c>
      <c r="I14" t="s">
        <v>185</v>
      </c>
      <c r="J14" s="9" t="s">
        <v>66</v>
      </c>
      <c r="K14" t="s">
        <v>60</v>
      </c>
      <c r="L14" t="s">
        <v>67</v>
      </c>
      <c r="M14">
        <v>7500</v>
      </c>
      <c r="O14">
        <f t="shared" si="1"/>
        <v>144997.70000000001</v>
      </c>
    </row>
    <row r="15" spans="1:30" x14ac:dyDescent="0.3">
      <c r="A15" t="s">
        <v>148</v>
      </c>
      <c r="B15" s="16">
        <v>44412</v>
      </c>
      <c r="C15" t="s">
        <v>20</v>
      </c>
      <c r="D15" t="s">
        <v>28</v>
      </c>
      <c r="E15">
        <v>20</v>
      </c>
      <c r="G15">
        <f t="shared" si="0"/>
        <v>13098</v>
      </c>
      <c r="I15" t="s">
        <v>186</v>
      </c>
      <c r="J15" s="12" t="s">
        <v>66</v>
      </c>
      <c r="K15" s="11" t="s">
        <v>57</v>
      </c>
      <c r="L15" s="11" t="s">
        <v>18</v>
      </c>
      <c r="M15" s="11">
        <v>10000</v>
      </c>
      <c r="N15" s="11"/>
      <c r="O15" s="11">
        <f t="shared" si="1"/>
        <v>134997.70000000001</v>
      </c>
    </row>
    <row r="16" spans="1:30" x14ac:dyDescent="0.3">
      <c r="A16" t="s">
        <v>149</v>
      </c>
      <c r="B16" s="16">
        <v>44412</v>
      </c>
      <c r="C16" t="s">
        <v>15</v>
      </c>
      <c r="D16" t="s">
        <v>16</v>
      </c>
      <c r="E16">
        <v>167</v>
      </c>
      <c r="G16">
        <f t="shared" si="0"/>
        <v>12931</v>
      </c>
      <c r="I16" t="s">
        <v>187</v>
      </c>
      <c r="J16" s="9" t="s">
        <v>66</v>
      </c>
      <c r="K16" t="s">
        <v>69</v>
      </c>
      <c r="L16" t="s">
        <v>70</v>
      </c>
      <c r="M16">
        <v>17500</v>
      </c>
      <c r="O16">
        <f t="shared" si="1"/>
        <v>117497.70000000001</v>
      </c>
    </row>
    <row r="17" spans="1:15" x14ac:dyDescent="0.3">
      <c r="A17" t="s">
        <v>150</v>
      </c>
      <c r="B17" s="16">
        <v>44412</v>
      </c>
      <c r="C17" t="s">
        <v>20</v>
      </c>
      <c r="D17" t="s">
        <v>29</v>
      </c>
      <c r="E17">
        <v>900</v>
      </c>
      <c r="G17">
        <f t="shared" si="0"/>
        <v>12031</v>
      </c>
      <c r="I17" t="s">
        <v>188</v>
      </c>
      <c r="J17" s="9" t="s">
        <v>66</v>
      </c>
      <c r="K17" t="s">
        <v>60</v>
      </c>
      <c r="L17" t="s">
        <v>68</v>
      </c>
      <c r="M17">
        <v>13050</v>
      </c>
      <c r="O17">
        <f t="shared" si="1"/>
        <v>104447.70000000001</v>
      </c>
    </row>
    <row r="18" spans="1:15" x14ac:dyDescent="0.3">
      <c r="A18" t="s">
        <v>151</v>
      </c>
      <c r="B18" s="16">
        <v>44412</v>
      </c>
      <c r="C18" t="s">
        <v>15</v>
      </c>
      <c r="D18" t="s">
        <v>30</v>
      </c>
      <c r="E18">
        <v>200</v>
      </c>
      <c r="G18">
        <f t="shared" si="0"/>
        <v>11831</v>
      </c>
      <c r="I18" t="s">
        <v>189</v>
      </c>
      <c r="J18" s="9" t="s">
        <v>66</v>
      </c>
      <c r="K18" t="s">
        <v>60</v>
      </c>
      <c r="L18" t="s">
        <v>71</v>
      </c>
      <c r="M18">
        <v>9000</v>
      </c>
      <c r="O18">
        <f t="shared" si="1"/>
        <v>95447.700000000012</v>
      </c>
    </row>
    <row r="19" spans="1:15" x14ac:dyDescent="0.3">
      <c r="A19" t="s">
        <v>152</v>
      </c>
      <c r="B19" s="16">
        <v>44534</v>
      </c>
      <c r="C19" t="s">
        <v>15</v>
      </c>
      <c r="D19" t="s">
        <v>31</v>
      </c>
      <c r="E19">
        <v>630</v>
      </c>
      <c r="G19">
        <f t="shared" si="0"/>
        <v>11201</v>
      </c>
      <c r="I19" t="s">
        <v>190</v>
      </c>
      <c r="J19" s="9" t="s">
        <v>72</v>
      </c>
      <c r="K19" t="s">
        <v>9</v>
      </c>
      <c r="L19" t="s">
        <v>73</v>
      </c>
      <c r="N19">
        <v>10000</v>
      </c>
      <c r="O19">
        <f t="shared" si="1"/>
        <v>105447.70000000001</v>
      </c>
    </row>
    <row r="20" spans="1:15" x14ac:dyDescent="0.3">
      <c r="A20" t="s">
        <v>153</v>
      </c>
      <c r="B20" s="16">
        <v>44534</v>
      </c>
      <c r="C20" t="s">
        <v>32</v>
      </c>
      <c r="D20" t="s">
        <v>33</v>
      </c>
      <c r="E20">
        <v>500</v>
      </c>
      <c r="G20">
        <f t="shared" si="0"/>
        <v>10701</v>
      </c>
      <c r="I20" t="s">
        <v>191</v>
      </c>
      <c r="J20" s="9" t="s">
        <v>74</v>
      </c>
      <c r="K20" t="s">
        <v>58</v>
      </c>
      <c r="L20" t="s">
        <v>59</v>
      </c>
      <c r="M20">
        <v>4432</v>
      </c>
      <c r="O20">
        <f t="shared" si="1"/>
        <v>101015.70000000001</v>
      </c>
    </row>
    <row r="21" spans="1:15" x14ac:dyDescent="0.3">
      <c r="A21" t="s">
        <v>154</v>
      </c>
      <c r="B21" s="16">
        <v>44534</v>
      </c>
      <c r="C21" t="s">
        <v>34</v>
      </c>
      <c r="D21" t="s">
        <v>35</v>
      </c>
      <c r="E21">
        <v>112</v>
      </c>
      <c r="G21">
        <f t="shared" si="0"/>
        <v>10589</v>
      </c>
      <c r="I21" t="s">
        <v>192</v>
      </c>
      <c r="J21" s="9" t="s">
        <v>75</v>
      </c>
      <c r="K21" t="s">
        <v>9</v>
      </c>
      <c r="L21" t="s">
        <v>76</v>
      </c>
      <c r="N21">
        <v>1500</v>
      </c>
      <c r="O21">
        <f t="shared" si="1"/>
        <v>102515.70000000001</v>
      </c>
    </row>
    <row r="22" spans="1:15" x14ac:dyDescent="0.3">
      <c r="A22" t="s">
        <v>155</v>
      </c>
      <c r="B22" s="16">
        <v>44534</v>
      </c>
      <c r="C22" t="s">
        <v>15</v>
      </c>
      <c r="D22" t="s">
        <v>19</v>
      </c>
      <c r="E22">
        <v>462</v>
      </c>
      <c r="G22">
        <f t="shared" si="0"/>
        <v>10127</v>
      </c>
      <c r="I22" t="s">
        <v>193</v>
      </c>
      <c r="J22" s="9" t="s">
        <v>78</v>
      </c>
      <c r="K22" t="s">
        <v>9</v>
      </c>
      <c r="L22" t="s">
        <v>79</v>
      </c>
      <c r="N22">
        <v>5000</v>
      </c>
      <c r="O22">
        <f t="shared" si="1"/>
        <v>107515.70000000001</v>
      </c>
    </row>
    <row r="23" spans="1:15" x14ac:dyDescent="0.3">
      <c r="A23" t="s">
        <v>156</v>
      </c>
      <c r="B23" s="16">
        <v>44534</v>
      </c>
      <c r="C23" t="s">
        <v>15</v>
      </c>
      <c r="D23" t="s">
        <v>19</v>
      </c>
      <c r="E23">
        <v>66</v>
      </c>
      <c r="G23">
        <f t="shared" si="0"/>
        <v>10061</v>
      </c>
      <c r="I23" t="s">
        <v>194</v>
      </c>
      <c r="J23" s="9" t="s">
        <v>54</v>
      </c>
      <c r="K23" t="s">
        <v>9</v>
      </c>
      <c r="L23" t="s">
        <v>80</v>
      </c>
      <c r="N23">
        <v>2500</v>
      </c>
      <c r="O23">
        <f t="shared" si="1"/>
        <v>110015.70000000001</v>
      </c>
    </row>
    <row r="24" spans="1:15" x14ac:dyDescent="0.3">
      <c r="A24" t="s">
        <v>157</v>
      </c>
      <c r="B24" s="16" t="s">
        <v>36</v>
      </c>
      <c r="C24" t="s">
        <v>13</v>
      </c>
      <c r="D24" t="s">
        <v>37</v>
      </c>
      <c r="E24">
        <v>1869</v>
      </c>
      <c r="G24">
        <f t="shared" si="0"/>
        <v>8192</v>
      </c>
    </row>
    <row r="25" spans="1:15" x14ac:dyDescent="0.3">
      <c r="A25" t="s">
        <v>158</v>
      </c>
      <c r="B25" s="18" t="s">
        <v>38</v>
      </c>
      <c r="C25" t="s">
        <v>32</v>
      </c>
      <c r="D25" t="s">
        <v>39</v>
      </c>
      <c r="E25">
        <v>1652</v>
      </c>
      <c r="G25">
        <f t="shared" si="0"/>
        <v>6540</v>
      </c>
    </row>
    <row r="26" spans="1:15" x14ac:dyDescent="0.3">
      <c r="A26" t="s">
        <v>159</v>
      </c>
      <c r="B26" s="18" t="s">
        <v>38</v>
      </c>
      <c r="C26" t="s">
        <v>15</v>
      </c>
      <c r="D26" t="s">
        <v>30</v>
      </c>
      <c r="E26">
        <v>150</v>
      </c>
      <c r="G26">
        <f t="shared" si="0"/>
        <v>6390</v>
      </c>
    </row>
    <row r="27" spans="1:15" x14ac:dyDescent="0.3">
      <c r="A27" t="s">
        <v>160</v>
      </c>
      <c r="B27" s="16" t="s">
        <v>38</v>
      </c>
      <c r="C27" t="s">
        <v>23</v>
      </c>
      <c r="D27" t="s">
        <v>40</v>
      </c>
      <c r="E27">
        <v>430</v>
      </c>
      <c r="G27">
        <f t="shared" si="0"/>
        <v>5960</v>
      </c>
    </row>
    <row r="28" spans="1:15" x14ac:dyDescent="0.3">
      <c r="A28" t="s">
        <v>161</v>
      </c>
      <c r="B28" s="16" t="s">
        <v>38</v>
      </c>
      <c r="C28" t="s">
        <v>15</v>
      </c>
      <c r="D28" t="s">
        <v>41</v>
      </c>
      <c r="E28">
        <v>377</v>
      </c>
      <c r="G28">
        <f t="shared" si="0"/>
        <v>5583</v>
      </c>
    </row>
    <row r="29" spans="1:15" x14ac:dyDescent="0.3">
      <c r="A29" t="s">
        <v>162</v>
      </c>
      <c r="B29" s="16" t="s">
        <v>38</v>
      </c>
      <c r="C29" t="s">
        <v>15</v>
      </c>
      <c r="D29" t="s">
        <v>42</v>
      </c>
      <c r="E29">
        <v>600</v>
      </c>
      <c r="G29">
        <f t="shared" si="0"/>
        <v>4983</v>
      </c>
    </row>
    <row r="30" spans="1:15" x14ac:dyDescent="0.3">
      <c r="A30" t="s">
        <v>163</v>
      </c>
      <c r="B30" s="16" t="s">
        <v>38</v>
      </c>
      <c r="C30" t="s">
        <v>23</v>
      </c>
      <c r="D30" t="s">
        <v>43</v>
      </c>
      <c r="E30">
        <v>1890</v>
      </c>
      <c r="G30">
        <f t="shared" si="0"/>
        <v>3093</v>
      </c>
    </row>
    <row r="31" spans="1:15" x14ac:dyDescent="0.3">
      <c r="A31" t="s">
        <v>164</v>
      </c>
      <c r="B31" s="17" t="s">
        <v>44</v>
      </c>
      <c r="C31" s="11" t="s">
        <v>17</v>
      </c>
      <c r="D31" s="11" t="s">
        <v>18</v>
      </c>
      <c r="E31" s="11"/>
      <c r="F31" s="11">
        <v>10000</v>
      </c>
      <c r="G31">
        <f t="shared" si="0"/>
        <v>13093</v>
      </c>
    </row>
    <row r="32" spans="1:15" x14ac:dyDescent="0.3">
      <c r="A32" t="s">
        <v>165</v>
      </c>
      <c r="B32" s="16">
        <v>13</v>
      </c>
      <c r="C32" t="s">
        <v>23</v>
      </c>
      <c r="D32" t="s">
        <v>24</v>
      </c>
      <c r="E32">
        <v>100</v>
      </c>
      <c r="G32">
        <f t="shared" si="0"/>
        <v>12993</v>
      </c>
    </row>
    <row r="33" spans="1:7" x14ac:dyDescent="0.3">
      <c r="A33" t="s">
        <v>166</v>
      </c>
      <c r="B33" s="16" t="s">
        <v>45</v>
      </c>
      <c r="C33" t="s">
        <v>15</v>
      </c>
      <c r="D33" t="s">
        <v>16</v>
      </c>
      <c r="E33">
        <v>640</v>
      </c>
      <c r="G33">
        <f t="shared" si="0"/>
        <v>12353</v>
      </c>
    </row>
    <row r="34" spans="1:7" x14ac:dyDescent="0.3">
      <c r="A34" t="s">
        <v>167</v>
      </c>
      <c r="B34" s="16" t="s">
        <v>46</v>
      </c>
      <c r="C34" t="s">
        <v>15</v>
      </c>
      <c r="D34" t="s">
        <v>19</v>
      </c>
      <c r="E34">
        <v>462</v>
      </c>
      <c r="G34">
        <f t="shared" si="0"/>
        <v>11891</v>
      </c>
    </row>
    <row r="35" spans="1:7" x14ac:dyDescent="0.3">
      <c r="A35" t="s">
        <v>168</v>
      </c>
      <c r="B35" s="16" t="s">
        <v>46</v>
      </c>
      <c r="C35" t="s">
        <v>47</v>
      </c>
      <c r="D35" t="s">
        <v>48</v>
      </c>
      <c r="E35">
        <v>41</v>
      </c>
      <c r="G35">
        <f t="shared" si="0"/>
        <v>11850</v>
      </c>
    </row>
    <row r="36" spans="1:7" x14ac:dyDescent="0.3">
      <c r="A36" t="s">
        <v>169</v>
      </c>
      <c r="B36" s="16" t="s">
        <v>49</v>
      </c>
      <c r="C36" t="s">
        <v>13</v>
      </c>
      <c r="D36" t="s">
        <v>50</v>
      </c>
      <c r="E36">
        <v>590</v>
      </c>
      <c r="G36">
        <f t="shared" si="0"/>
        <v>11260</v>
      </c>
    </row>
    <row r="37" spans="1:7" x14ac:dyDescent="0.3">
      <c r="A37" t="s">
        <v>170</v>
      </c>
      <c r="B37" s="16" t="s">
        <v>51</v>
      </c>
      <c r="C37" t="s">
        <v>15</v>
      </c>
      <c r="D37" t="s">
        <v>16</v>
      </c>
      <c r="E37">
        <v>521</v>
      </c>
      <c r="G37">
        <f t="shared" si="0"/>
        <v>10739</v>
      </c>
    </row>
    <row r="38" spans="1:7" x14ac:dyDescent="0.3">
      <c r="A38" t="s">
        <v>171</v>
      </c>
      <c r="B38" s="16" t="s">
        <v>51</v>
      </c>
      <c r="C38" t="s">
        <v>15</v>
      </c>
      <c r="D38" t="s">
        <v>30</v>
      </c>
      <c r="E38">
        <v>200</v>
      </c>
      <c r="G38">
        <f t="shared" si="0"/>
        <v>10539</v>
      </c>
    </row>
    <row r="39" spans="1:7" x14ac:dyDescent="0.3">
      <c r="A39" t="s">
        <v>172</v>
      </c>
      <c r="B39" s="16" t="s">
        <v>52</v>
      </c>
      <c r="C39" t="s">
        <v>15</v>
      </c>
      <c r="D39" t="s">
        <v>19</v>
      </c>
      <c r="E39">
        <v>462</v>
      </c>
      <c r="G39">
        <f t="shared" si="0"/>
        <v>10077</v>
      </c>
    </row>
    <row r="40" spans="1:7" x14ac:dyDescent="0.3">
      <c r="A40" t="s">
        <v>173</v>
      </c>
      <c r="B40" s="16" t="s">
        <v>52</v>
      </c>
      <c r="C40" t="s">
        <v>20</v>
      </c>
      <c r="D40" t="s">
        <v>53</v>
      </c>
      <c r="E40">
        <v>60</v>
      </c>
      <c r="G40">
        <f t="shared" si="0"/>
        <v>10017</v>
      </c>
    </row>
    <row r="41" spans="1:7" x14ac:dyDescent="0.3">
      <c r="A41" t="s">
        <v>174</v>
      </c>
      <c r="B41" s="16" t="s">
        <v>54</v>
      </c>
      <c r="C41" t="s">
        <v>13</v>
      </c>
      <c r="D41" t="s">
        <v>55</v>
      </c>
      <c r="E41">
        <v>280</v>
      </c>
      <c r="G41">
        <f t="shared" si="0"/>
        <v>9737</v>
      </c>
    </row>
    <row r="42" spans="1:7" x14ac:dyDescent="0.3">
      <c r="A42" t="s">
        <v>175</v>
      </c>
      <c r="B42" s="16" t="s">
        <v>54</v>
      </c>
      <c r="C42" t="s">
        <v>32</v>
      </c>
      <c r="D42" t="s">
        <v>56</v>
      </c>
      <c r="E42">
        <v>273</v>
      </c>
      <c r="G42">
        <f t="shared" si="0"/>
        <v>9464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bCopyRangeToAnotherSheet">
                <anchor moveWithCells="1" sizeWithCells="1">
                  <from>
                    <xdr:col>17</xdr:col>
                    <xdr:colOff>0</xdr:colOff>
                    <xdr:row>19</xdr:row>
                    <xdr:rowOff>22860</xdr:rowOff>
                  </from>
                  <to>
                    <xdr:col>20</xdr:col>
                    <xdr:colOff>129540</xdr:colOff>
                    <xdr:row>22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onation">
                <anchor moveWithCells="1" sizeWithCells="1">
                  <from>
                    <xdr:col>17</xdr:col>
                    <xdr:colOff>30480</xdr:colOff>
                    <xdr:row>24</xdr:row>
                    <xdr:rowOff>22860</xdr:rowOff>
                  </from>
                  <to>
                    <xdr:col>20</xdr:col>
                    <xdr:colOff>144780</xdr:colOff>
                    <xdr:row>27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"/>
  <sheetViews>
    <sheetView workbookViewId="0">
      <selection activeCell="H32" sqref="H32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B1:H75"/>
  <sheetViews>
    <sheetView workbookViewId="0">
      <selection activeCell="B4" sqref="B4:H3000"/>
    </sheetView>
  </sheetViews>
  <sheetFormatPr defaultRowHeight="14.4" x14ac:dyDescent="0.3"/>
  <cols>
    <col min="2" max="2" width="10.21875" bestFit="1" customWidth="1"/>
    <col min="3" max="3" width="11.21875" bestFit="1" customWidth="1"/>
    <col min="4" max="4" width="19.77734375" bestFit="1" customWidth="1"/>
  </cols>
  <sheetData>
    <row r="1" spans="2:8" ht="15" thickBot="1" x14ac:dyDescent="0.35"/>
    <row r="2" spans="2:8" ht="15" thickBot="1" x14ac:dyDescent="0.35">
      <c r="B2" s="4" t="s">
        <v>0</v>
      </c>
      <c r="C2" s="28" t="s">
        <v>1</v>
      </c>
      <c r="D2" s="5" t="s">
        <v>2</v>
      </c>
      <c r="E2" s="7" t="s">
        <v>2</v>
      </c>
      <c r="F2" s="5" t="s">
        <v>3</v>
      </c>
      <c r="G2" s="7" t="s">
        <v>4</v>
      </c>
      <c r="H2" s="6" t="s">
        <v>5</v>
      </c>
    </row>
    <row r="3" spans="2:8" x14ac:dyDescent="0.3">
      <c r="B3" t="s">
        <v>337</v>
      </c>
      <c r="C3" s="9">
        <v>44287</v>
      </c>
      <c r="D3" t="s">
        <v>8</v>
      </c>
      <c r="H3">
        <v>2514</v>
      </c>
    </row>
    <row r="4" spans="2:8" x14ac:dyDescent="0.3">
      <c r="B4" t="s">
        <v>195</v>
      </c>
      <c r="C4" s="9">
        <v>44287</v>
      </c>
      <c r="D4" t="s">
        <v>13</v>
      </c>
      <c r="E4" t="s">
        <v>14</v>
      </c>
      <c r="F4">
        <v>175</v>
      </c>
      <c r="H4">
        <f>H3+G4-F4</f>
        <v>2339</v>
      </c>
    </row>
    <row r="5" spans="2:8" x14ac:dyDescent="0.3">
      <c r="B5" t="s">
        <v>196</v>
      </c>
      <c r="C5" s="9">
        <v>44291</v>
      </c>
      <c r="D5" t="s">
        <v>15</v>
      </c>
      <c r="E5" t="s">
        <v>16</v>
      </c>
      <c r="F5">
        <v>530</v>
      </c>
      <c r="H5">
        <f t="shared" ref="H5:H41" si="0">H4+G5-F5</f>
        <v>1809</v>
      </c>
    </row>
    <row r="6" spans="2:8" x14ac:dyDescent="0.3">
      <c r="B6" s="11" t="s">
        <v>197</v>
      </c>
      <c r="C6" s="12">
        <v>44292</v>
      </c>
      <c r="D6" s="11" t="s">
        <v>17</v>
      </c>
      <c r="E6" s="11" t="s">
        <v>18</v>
      </c>
      <c r="F6" s="11"/>
      <c r="G6" s="11">
        <v>15000</v>
      </c>
      <c r="H6" s="11">
        <f t="shared" si="0"/>
        <v>16809</v>
      </c>
    </row>
    <row r="7" spans="2:8" x14ac:dyDescent="0.3">
      <c r="B7" t="s">
        <v>198</v>
      </c>
      <c r="C7" s="9">
        <v>44292</v>
      </c>
      <c r="D7" t="s">
        <v>15</v>
      </c>
      <c r="E7" t="s">
        <v>19</v>
      </c>
      <c r="F7">
        <v>462</v>
      </c>
      <c r="H7">
        <f t="shared" si="0"/>
        <v>16347</v>
      </c>
    </row>
    <row r="8" spans="2:8" x14ac:dyDescent="0.3">
      <c r="B8" t="s">
        <v>199</v>
      </c>
      <c r="C8" s="9">
        <v>44292</v>
      </c>
      <c r="D8" t="s">
        <v>20</v>
      </c>
      <c r="E8" t="s">
        <v>21</v>
      </c>
      <c r="F8">
        <v>220</v>
      </c>
      <c r="H8">
        <f t="shared" si="0"/>
        <v>16127</v>
      </c>
    </row>
    <row r="9" spans="2:8" x14ac:dyDescent="0.3">
      <c r="B9" t="s">
        <v>200</v>
      </c>
      <c r="C9" s="9">
        <v>44292</v>
      </c>
      <c r="D9" t="s">
        <v>13</v>
      </c>
      <c r="E9" t="s">
        <v>22</v>
      </c>
      <c r="F9">
        <v>1640</v>
      </c>
      <c r="H9">
        <f t="shared" si="0"/>
        <v>14487</v>
      </c>
    </row>
    <row r="10" spans="2:8" x14ac:dyDescent="0.3">
      <c r="B10" t="s">
        <v>201</v>
      </c>
      <c r="C10" s="9">
        <v>44292</v>
      </c>
      <c r="D10" t="s">
        <v>23</v>
      </c>
      <c r="E10" t="s">
        <v>24</v>
      </c>
      <c r="F10">
        <v>120</v>
      </c>
      <c r="H10">
        <f t="shared" si="0"/>
        <v>14367</v>
      </c>
    </row>
    <row r="11" spans="2:8" x14ac:dyDescent="0.3">
      <c r="B11" t="s">
        <v>202</v>
      </c>
      <c r="C11" s="9">
        <v>44293</v>
      </c>
      <c r="D11" t="s">
        <v>23</v>
      </c>
      <c r="E11" t="s">
        <v>25</v>
      </c>
      <c r="F11">
        <v>780</v>
      </c>
      <c r="H11">
        <f t="shared" si="0"/>
        <v>13587</v>
      </c>
    </row>
    <row r="12" spans="2:8" x14ac:dyDescent="0.3">
      <c r="B12" t="s">
        <v>203</v>
      </c>
      <c r="C12" s="9">
        <v>44293</v>
      </c>
      <c r="D12" t="s">
        <v>20</v>
      </c>
      <c r="E12" t="s">
        <v>26</v>
      </c>
      <c r="F12">
        <v>78</v>
      </c>
      <c r="H12">
        <f t="shared" si="0"/>
        <v>13509</v>
      </c>
    </row>
    <row r="13" spans="2:8" x14ac:dyDescent="0.3">
      <c r="B13" t="s">
        <v>204</v>
      </c>
      <c r="C13" s="9">
        <v>44294</v>
      </c>
      <c r="D13" t="s">
        <v>23</v>
      </c>
      <c r="E13" t="s">
        <v>27</v>
      </c>
      <c r="F13">
        <v>391</v>
      </c>
      <c r="H13">
        <f t="shared" si="0"/>
        <v>13118</v>
      </c>
    </row>
    <row r="14" spans="2:8" x14ac:dyDescent="0.3">
      <c r="B14" t="s">
        <v>205</v>
      </c>
      <c r="C14" s="9">
        <v>44294</v>
      </c>
      <c r="D14" t="s">
        <v>20</v>
      </c>
      <c r="E14" t="s">
        <v>28</v>
      </c>
      <c r="F14">
        <v>20</v>
      </c>
      <c r="H14">
        <f t="shared" si="0"/>
        <v>13098</v>
      </c>
    </row>
    <row r="15" spans="2:8" x14ac:dyDescent="0.3">
      <c r="B15" t="s">
        <v>206</v>
      </c>
      <c r="C15" s="9">
        <v>44294</v>
      </c>
      <c r="D15" t="s">
        <v>15</v>
      </c>
      <c r="E15" t="s">
        <v>16</v>
      </c>
      <c r="F15">
        <v>167</v>
      </c>
      <c r="H15">
        <f t="shared" si="0"/>
        <v>12931</v>
      </c>
    </row>
    <row r="16" spans="2:8" x14ac:dyDescent="0.3">
      <c r="B16" t="s">
        <v>207</v>
      </c>
      <c r="C16" s="9">
        <v>44294</v>
      </c>
      <c r="D16" t="s">
        <v>20</v>
      </c>
      <c r="E16" t="s">
        <v>29</v>
      </c>
      <c r="F16">
        <v>900</v>
      </c>
      <c r="H16">
        <f t="shared" si="0"/>
        <v>12031</v>
      </c>
    </row>
    <row r="17" spans="2:8" x14ac:dyDescent="0.3">
      <c r="B17" t="s">
        <v>208</v>
      </c>
      <c r="C17" s="9">
        <v>44294</v>
      </c>
      <c r="D17" t="s">
        <v>15</v>
      </c>
      <c r="E17" t="s">
        <v>30</v>
      </c>
      <c r="F17">
        <v>200</v>
      </c>
      <c r="H17">
        <f t="shared" si="0"/>
        <v>11831</v>
      </c>
    </row>
    <row r="18" spans="2:8" x14ac:dyDescent="0.3">
      <c r="B18" t="s">
        <v>209</v>
      </c>
      <c r="C18" s="9">
        <v>44298</v>
      </c>
      <c r="D18" t="s">
        <v>15</v>
      </c>
      <c r="E18" t="s">
        <v>31</v>
      </c>
      <c r="F18">
        <v>630</v>
      </c>
      <c r="H18">
        <f t="shared" si="0"/>
        <v>11201</v>
      </c>
    </row>
    <row r="19" spans="2:8" x14ac:dyDescent="0.3">
      <c r="B19" t="s">
        <v>210</v>
      </c>
      <c r="C19" s="9">
        <v>44298</v>
      </c>
      <c r="D19" t="s">
        <v>32</v>
      </c>
      <c r="E19" t="s">
        <v>33</v>
      </c>
      <c r="F19">
        <v>500</v>
      </c>
      <c r="H19">
        <f t="shared" si="0"/>
        <v>10701</v>
      </c>
    </row>
    <row r="20" spans="2:8" x14ac:dyDescent="0.3">
      <c r="B20" t="s">
        <v>211</v>
      </c>
      <c r="C20" s="9">
        <v>44298</v>
      </c>
      <c r="D20" t="s">
        <v>34</v>
      </c>
      <c r="E20" t="s">
        <v>35</v>
      </c>
      <c r="F20">
        <v>112</v>
      </c>
      <c r="H20">
        <f t="shared" si="0"/>
        <v>10589</v>
      </c>
    </row>
    <row r="21" spans="2:8" x14ac:dyDescent="0.3">
      <c r="B21" t="s">
        <v>212</v>
      </c>
      <c r="C21" s="9">
        <v>44298</v>
      </c>
      <c r="D21" t="s">
        <v>15</v>
      </c>
      <c r="E21" t="s">
        <v>19</v>
      </c>
      <c r="F21">
        <v>462</v>
      </c>
      <c r="H21">
        <f t="shared" si="0"/>
        <v>10127</v>
      </c>
    </row>
    <row r="22" spans="2:8" x14ac:dyDescent="0.3">
      <c r="B22" t="s">
        <v>213</v>
      </c>
      <c r="C22" s="9">
        <v>44298</v>
      </c>
      <c r="D22" t="s">
        <v>15</v>
      </c>
      <c r="E22" t="s">
        <v>19</v>
      </c>
      <c r="F22">
        <v>66</v>
      </c>
      <c r="H22">
        <f t="shared" si="0"/>
        <v>10061</v>
      </c>
    </row>
    <row r="23" spans="2:8" x14ac:dyDescent="0.3">
      <c r="B23" t="s">
        <v>214</v>
      </c>
      <c r="C23" s="9">
        <v>44298</v>
      </c>
      <c r="D23" t="s">
        <v>13</v>
      </c>
      <c r="E23" t="s">
        <v>37</v>
      </c>
      <c r="F23">
        <v>1869</v>
      </c>
      <c r="H23">
        <f t="shared" si="0"/>
        <v>8192</v>
      </c>
    </row>
    <row r="24" spans="2:8" x14ac:dyDescent="0.3">
      <c r="B24" t="s">
        <v>215</v>
      </c>
      <c r="C24" s="9">
        <v>44301</v>
      </c>
      <c r="D24" t="s">
        <v>32</v>
      </c>
      <c r="E24" t="s">
        <v>39</v>
      </c>
      <c r="F24">
        <v>1652</v>
      </c>
      <c r="H24">
        <f t="shared" si="0"/>
        <v>6540</v>
      </c>
    </row>
    <row r="25" spans="2:8" x14ac:dyDescent="0.3">
      <c r="B25" t="s">
        <v>216</v>
      </c>
      <c r="C25" s="9">
        <v>44301</v>
      </c>
      <c r="D25" t="s">
        <v>15</v>
      </c>
      <c r="E25" t="s">
        <v>30</v>
      </c>
      <c r="F25">
        <v>150</v>
      </c>
      <c r="H25">
        <f t="shared" si="0"/>
        <v>6390</v>
      </c>
    </row>
    <row r="26" spans="2:8" x14ac:dyDescent="0.3">
      <c r="B26" t="s">
        <v>217</v>
      </c>
      <c r="C26" s="9">
        <v>44301</v>
      </c>
      <c r="D26" t="s">
        <v>23</v>
      </c>
      <c r="E26" t="s">
        <v>40</v>
      </c>
      <c r="F26">
        <v>430</v>
      </c>
      <c r="H26">
        <f t="shared" si="0"/>
        <v>5960</v>
      </c>
    </row>
    <row r="27" spans="2:8" x14ac:dyDescent="0.3">
      <c r="B27" t="s">
        <v>218</v>
      </c>
      <c r="C27" s="9">
        <v>44301</v>
      </c>
      <c r="D27" t="s">
        <v>15</v>
      </c>
      <c r="E27" t="s">
        <v>41</v>
      </c>
      <c r="F27">
        <v>377</v>
      </c>
      <c r="H27">
        <f t="shared" si="0"/>
        <v>5583</v>
      </c>
    </row>
    <row r="28" spans="2:8" x14ac:dyDescent="0.3">
      <c r="B28" t="s">
        <v>219</v>
      </c>
      <c r="C28" s="9">
        <v>44301</v>
      </c>
      <c r="D28" t="s">
        <v>15</v>
      </c>
      <c r="E28" t="s">
        <v>42</v>
      </c>
      <c r="F28">
        <v>600</v>
      </c>
      <c r="H28">
        <f t="shared" si="0"/>
        <v>4983</v>
      </c>
    </row>
    <row r="29" spans="2:8" x14ac:dyDescent="0.3">
      <c r="B29" t="s">
        <v>220</v>
      </c>
      <c r="C29" s="9">
        <v>44301</v>
      </c>
      <c r="D29" t="s">
        <v>23</v>
      </c>
      <c r="E29" t="s">
        <v>43</v>
      </c>
      <c r="F29">
        <v>1890</v>
      </c>
      <c r="H29">
        <f t="shared" si="0"/>
        <v>3093</v>
      </c>
    </row>
    <row r="30" spans="2:8" x14ac:dyDescent="0.3">
      <c r="B30" s="11" t="s">
        <v>221</v>
      </c>
      <c r="C30" s="12">
        <v>44302</v>
      </c>
      <c r="D30" s="11" t="s">
        <v>17</v>
      </c>
      <c r="E30" s="11" t="s">
        <v>18</v>
      </c>
      <c r="F30" s="11"/>
      <c r="G30" s="11">
        <v>10000</v>
      </c>
      <c r="H30" s="11">
        <f t="shared" si="0"/>
        <v>13093</v>
      </c>
    </row>
    <row r="31" spans="2:8" x14ac:dyDescent="0.3">
      <c r="B31" t="s">
        <v>222</v>
      </c>
      <c r="C31" s="9">
        <v>13</v>
      </c>
      <c r="D31" t="s">
        <v>23</v>
      </c>
      <c r="E31" t="s">
        <v>24</v>
      </c>
      <c r="F31">
        <v>100</v>
      </c>
      <c r="H31">
        <f t="shared" si="0"/>
        <v>12993</v>
      </c>
    </row>
    <row r="32" spans="2:8" x14ac:dyDescent="0.3">
      <c r="B32" t="s">
        <v>223</v>
      </c>
      <c r="C32" s="9">
        <v>44305</v>
      </c>
      <c r="D32" t="s">
        <v>15</v>
      </c>
      <c r="E32" t="s">
        <v>16</v>
      </c>
      <c r="F32">
        <v>640</v>
      </c>
      <c r="H32">
        <f t="shared" si="0"/>
        <v>12353</v>
      </c>
    </row>
    <row r="33" spans="2:8" x14ac:dyDescent="0.3">
      <c r="B33" t="s">
        <v>224</v>
      </c>
      <c r="C33" s="9">
        <v>44306</v>
      </c>
      <c r="D33" t="s">
        <v>15</v>
      </c>
      <c r="E33" t="s">
        <v>19</v>
      </c>
      <c r="F33">
        <v>462</v>
      </c>
      <c r="H33">
        <f t="shared" si="0"/>
        <v>11891</v>
      </c>
    </row>
    <row r="34" spans="2:8" x14ac:dyDescent="0.3">
      <c r="B34" t="s">
        <v>225</v>
      </c>
      <c r="C34" s="9">
        <v>44306</v>
      </c>
      <c r="D34" t="s">
        <v>47</v>
      </c>
      <c r="E34" t="s">
        <v>48</v>
      </c>
      <c r="F34">
        <v>41</v>
      </c>
      <c r="H34">
        <f t="shared" si="0"/>
        <v>11850</v>
      </c>
    </row>
    <row r="35" spans="2:8" x14ac:dyDescent="0.3">
      <c r="B35" t="s">
        <v>226</v>
      </c>
      <c r="C35" s="9">
        <v>44308</v>
      </c>
      <c r="D35" t="s">
        <v>13</v>
      </c>
      <c r="E35" t="s">
        <v>50</v>
      </c>
      <c r="F35">
        <v>590</v>
      </c>
      <c r="H35">
        <f t="shared" si="0"/>
        <v>11260</v>
      </c>
    </row>
    <row r="36" spans="2:8" x14ac:dyDescent="0.3">
      <c r="B36" t="s">
        <v>227</v>
      </c>
      <c r="C36" s="9">
        <v>44312</v>
      </c>
      <c r="D36" t="s">
        <v>15</v>
      </c>
      <c r="E36" t="s">
        <v>16</v>
      </c>
      <c r="F36">
        <v>521</v>
      </c>
      <c r="H36">
        <f t="shared" si="0"/>
        <v>10739</v>
      </c>
    </row>
    <row r="37" spans="2:8" x14ac:dyDescent="0.3">
      <c r="B37" t="s">
        <v>228</v>
      </c>
      <c r="C37" s="9">
        <v>44312</v>
      </c>
      <c r="D37" t="s">
        <v>15</v>
      </c>
      <c r="E37" t="s">
        <v>30</v>
      </c>
      <c r="F37">
        <v>200</v>
      </c>
      <c r="H37">
        <f t="shared" si="0"/>
        <v>10539</v>
      </c>
    </row>
    <row r="38" spans="2:8" x14ac:dyDescent="0.3">
      <c r="B38" t="s">
        <v>229</v>
      </c>
      <c r="C38" s="9">
        <v>44313</v>
      </c>
      <c r="D38" t="s">
        <v>15</v>
      </c>
      <c r="E38" t="s">
        <v>19</v>
      </c>
      <c r="F38">
        <v>462</v>
      </c>
      <c r="H38">
        <f t="shared" si="0"/>
        <v>10077</v>
      </c>
    </row>
    <row r="39" spans="2:8" x14ac:dyDescent="0.3">
      <c r="B39" t="s">
        <v>230</v>
      </c>
      <c r="C39" s="9">
        <v>44313</v>
      </c>
      <c r="D39" t="s">
        <v>20</v>
      </c>
      <c r="E39" t="s">
        <v>53</v>
      </c>
      <c r="F39">
        <v>60</v>
      </c>
      <c r="H39">
        <f t="shared" si="0"/>
        <v>10017</v>
      </c>
    </row>
    <row r="40" spans="2:8" x14ac:dyDescent="0.3">
      <c r="B40" t="s">
        <v>231</v>
      </c>
      <c r="C40" s="9">
        <v>44316</v>
      </c>
      <c r="D40" t="s">
        <v>13</v>
      </c>
      <c r="E40" t="s">
        <v>55</v>
      </c>
      <c r="F40">
        <v>280</v>
      </c>
      <c r="H40">
        <f t="shared" si="0"/>
        <v>9737</v>
      </c>
    </row>
    <row r="41" spans="2:8" x14ac:dyDescent="0.3">
      <c r="B41" t="s">
        <v>232</v>
      </c>
      <c r="C41" s="9">
        <v>44316</v>
      </c>
      <c r="D41" t="s">
        <v>32</v>
      </c>
      <c r="E41" t="s">
        <v>56</v>
      </c>
      <c r="F41">
        <v>273</v>
      </c>
      <c r="H41">
        <f t="shared" si="0"/>
        <v>9464</v>
      </c>
    </row>
    <row r="42" spans="2:8" x14ac:dyDescent="0.3">
      <c r="B42" t="s">
        <v>253</v>
      </c>
      <c r="C42" s="9">
        <v>44317</v>
      </c>
      <c r="D42" t="s">
        <v>13</v>
      </c>
      <c r="E42" t="s">
        <v>14</v>
      </c>
      <c r="F42">
        <v>170</v>
      </c>
      <c r="H42">
        <f>H41+G42-F42</f>
        <v>9294</v>
      </c>
    </row>
    <row r="43" spans="2:8" x14ac:dyDescent="0.3">
      <c r="B43" t="s">
        <v>254</v>
      </c>
      <c r="C43" s="9">
        <v>44317</v>
      </c>
      <c r="D43" t="s">
        <v>15</v>
      </c>
      <c r="E43" t="s">
        <v>30</v>
      </c>
      <c r="F43">
        <v>100</v>
      </c>
      <c r="H43">
        <f t="shared" ref="H43:H50" si="1">H42+G43-F43</f>
        <v>9194</v>
      </c>
    </row>
    <row r="44" spans="2:8" x14ac:dyDescent="0.3">
      <c r="B44" t="s">
        <v>255</v>
      </c>
      <c r="C44" s="9">
        <v>44320</v>
      </c>
      <c r="D44" t="s">
        <v>15</v>
      </c>
      <c r="E44" t="s">
        <v>19</v>
      </c>
      <c r="F44">
        <v>352</v>
      </c>
      <c r="H44">
        <f t="shared" si="1"/>
        <v>8842</v>
      </c>
    </row>
    <row r="45" spans="2:8" x14ac:dyDescent="0.3">
      <c r="B45" t="s">
        <v>256</v>
      </c>
      <c r="C45" s="9">
        <v>44320</v>
      </c>
      <c r="D45" t="s">
        <v>15</v>
      </c>
      <c r="E45" t="s">
        <v>16</v>
      </c>
      <c r="F45">
        <v>254</v>
      </c>
      <c r="H45">
        <f t="shared" si="1"/>
        <v>8588</v>
      </c>
    </row>
    <row r="46" spans="2:8" x14ac:dyDescent="0.3">
      <c r="B46" t="s">
        <v>257</v>
      </c>
      <c r="C46" s="9">
        <v>44320</v>
      </c>
      <c r="D46" t="s">
        <v>23</v>
      </c>
      <c r="E46" t="s">
        <v>92</v>
      </c>
      <c r="F46">
        <v>150</v>
      </c>
      <c r="H46">
        <f t="shared" si="1"/>
        <v>8438</v>
      </c>
    </row>
    <row r="47" spans="2:8" x14ac:dyDescent="0.3">
      <c r="B47" t="s">
        <v>258</v>
      </c>
      <c r="C47" s="9">
        <v>44323</v>
      </c>
      <c r="D47" t="s">
        <v>93</v>
      </c>
      <c r="E47" t="s">
        <v>94</v>
      </c>
      <c r="F47">
        <v>250</v>
      </c>
      <c r="H47">
        <f t="shared" si="1"/>
        <v>8188</v>
      </c>
    </row>
    <row r="48" spans="2:8" x14ac:dyDescent="0.3">
      <c r="B48" t="s">
        <v>259</v>
      </c>
      <c r="C48" s="9">
        <v>44324</v>
      </c>
      <c r="D48" t="s">
        <v>15</v>
      </c>
      <c r="E48" t="s">
        <v>19</v>
      </c>
      <c r="F48">
        <v>176</v>
      </c>
      <c r="H48">
        <f t="shared" si="1"/>
        <v>8012</v>
      </c>
    </row>
    <row r="49" spans="2:8" x14ac:dyDescent="0.3">
      <c r="B49" t="s">
        <v>260</v>
      </c>
      <c r="C49" s="9">
        <v>44324</v>
      </c>
      <c r="D49" t="s">
        <v>13</v>
      </c>
      <c r="E49" t="s">
        <v>14</v>
      </c>
      <c r="F49">
        <v>48</v>
      </c>
      <c r="H49">
        <f t="shared" si="1"/>
        <v>7964</v>
      </c>
    </row>
    <row r="50" spans="2:8" x14ac:dyDescent="0.3">
      <c r="B50" t="s">
        <v>261</v>
      </c>
      <c r="C50" s="9">
        <v>44324</v>
      </c>
      <c r="D50" t="s">
        <v>13</v>
      </c>
      <c r="E50" t="s">
        <v>95</v>
      </c>
      <c r="F50">
        <v>1965</v>
      </c>
      <c r="H50">
        <f t="shared" si="1"/>
        <v>5999</v>
      </c>
    </row>
    <row r="51" spans="2:8" x14ac:dyDescent="0.3">
      <c r="B51" t="s">
        <v>277</v>
      </c>
      <c r="C51" s="9">
        <v>44364</v>
      </c>
      <c r="D51" t="s">
        <v>13</v>
      </c>
      <c r="E51" t="s">
        <v>98</v>
      </c>
      <c r="F51">
        <v>1890</v>
      </c>
      <c r="H51">
        <f>H50+G51-F51</f>
        <v>4109</v>
      </c>
    </row>
    <row r="52" spans="2:8" x14ac:dyDescent="0.3">
      <c r="B52" t="s">
        <v>278</v>
      </c>
      <c r="C52" s="9">
        <v>44377</v>
      </c>
      <c r="D52" t="s">
        <v>13</v>
      </c>
      <c r="E52" t="s">
        <v>106</v>
      </c>
      <c r="F52">
        <v>589</v>
      </c>
      <c r="H52">
        <f t="shared" ref="H52:H53" si="2">H51+G52-F52</f>
        <v>3520</v>
      </c>
    </row>
    <row r="53" spans="2:8" x14ac:dyDescent="0.3">
      <c r="B53" t="s">
        <v>279</v>
      </c>
      <c r="C53" s="9">
        <v>44377</v>
      </c>
      <c r="D53" t="s">
        <v>13</v>
      </c>
      <c r="E53" t="s">
        <v>106</v>
      </c>
      <c r="F53">
        <v>590</v>
      </c>
      <c r="H53">
        <f t="shared" si="2"/>
        <v>2930</v>
      </c>
    </row>
    <row r="54" spans="2:8" x14ac:dyDescent="0.3">
      <c r="B54" t="s">
        <v>294</v>
      </c>
      <c r="C54" s="9">
        <v>44378</v>
      </c>
      <c r="D54" t="s">
        <v>23</v>
      </c>
      <c r="E54" t="s">
        <v>112</v>
      </c>
      <c r="F54">
        <v>540</v>
      </c>
      <c r="H54">
        <f>SUM(H53+G54-F54)</f>
        <v>2390</v>
      </c>
    </row>
    <row r="55" spans="2:8" x14ac:dyDescent="0.3">
      <c r="B55" t="s">
        <v>295</v>
      </c>
      <c r="C55" s="9">
        <v>44389</v>
      </c>
      <c r="D55" t="s">
        <v>129</v>
      </c>
      <c r="E55" t="s">
        <v>113</v>
      </c>
      <c r="F55">
        <v>2186</v>
      </c>
      <c r="H55">
        <f t="shared" ref="H55:H61" si="3">SUM(H54+G55-F55)</f>
        <v>204</v>
      </c>
    </row>
    <row r="56" spans="2:8" x14ac:dyDescent="0.3">
      <c r="B56" s="11" t="s">
        <v>296</v>
      </c>
      <c r="C56" s="12">
        <v>44389</v>
      </c>
      <c r="D56" s="11" t="s">
        <v>17</v>
      </c>
      <c r="E56" s="11"/>
      <c r="F56" s="11"/>
      <c r="G56" s="11">
        <v>10000</v>
      </c>
      <c r="H56" s="11">
        <f t="shared" si="3"/>
        <v>10204</v>
      </c>
    </row>
    <row r="57" spans="2:8" x14ac:dyDescent="0.3">
      <c r="B57" t="s">
        <v>297</v>
      </c>
      <c r="C57" s="9">
        <v>44391</v>
      </c>
      <c r="D57" t="s">
        <v>23</v>
      </c>
      <c r="E57" t="s">
        <v>114</v>
      </c>
      <c r="F57">
        <v>160</v>
      </c>
      <c r="H57">
        <f t="shared" si="3"/>
        <v>10044</v>
      </c>
    </row>
    <row r="58" spans="2:8" x14ac:dyDescent="0.3">
      <c r="B58" t="s">
        <v>298</v>
      </c>
      <c r="C58" s="9">
        <v>44399</v>
      </c>
      <c r="D58" t="s">
        <v>23</v>
      </c>
      <c r="E58" t="s">
        <v>115</v>
      </c>
      <c r="F58">
        <v>120</v>
      </c>
      <c r="H58">
        <f t="shared" si="3"/>
        <v>9924</v>
      </c>
    </row>
    <row r="59" spans="2:8" x14ac:dyDescent="0.3">
      <c r="B59" t="s">
        <v>299</v>
      </c>
      <c r="C59" s="9">
        <v>44399</v>
      </c>
      <c r="D59" t="s">
        <v>13</v>
      </c>
      <c r="E59" t="s">
        <v>116</v>
      </c>
      <c r="F59">
        <v>1560</v>
      </c>
      <c r="H59">
        <f t="shared" si="3"/>
        <v>8364</v>
      </c>
    </row>
    <row r="60" spans="2:8" x14ac:dyDescent="0.3">
      <c r="B60" t="s">
        <v>300</v>
      </c>
      <c r="C60" s="9">
        <v>44399</v>
      </c>
      <c r="D60" t="s">
        <v>13</v>
      </c>
      <c r="E60" t="s">
        <v>37</v>
      </c>
      <c r="F60">
        <v>220</v>
      </c>
      <c r="H60">
        <f t="shared" si="3"/>
        <v>8144</v>
      </c>
    </row>
    <row r="61" spans="2:8" x14ac:dyDescent="0.3">
      <c r="B61" t="s">
        <v>301</v>
      </c>
      <c r="C61" s="9">
        <v>44401</v>
      </c>
      <c r="D61" t="s">
        <v>13</v>
      </c>
      <c r="E61" t="s">
        <v>106</v>
      </c>
      <c r="F61">
        <v>589</v>
      </c>
      <c r="H61">
        <f t="shared" si="3"/>
        <v>7555</v>
      </c>
    </row>
    <row r="62" spans="2:8" x14ac:dyDescent="0.3">
      <c r="B62" t="s">
        <v>314</v>
      </c>
      <c r="C62" s="9">
        <v>44421</v>
      </c>
      <c r="D62" t="s">
        <v>13</v>
      </c>
      <c r="E62" t="s">
        <v>98</v>
      </c>
      <c r="F62">
        <v>220</v>
      </c>
      <c r="H62">
        <f>H61+G62-F62</f>
        <v>7335</v>
      </c>
    </row>
    <row r="63" spans="2:8" x14ac:dyDescent="0.3">
      <c r="B63" t="s">
        <v>315</v>
      </c>
      <c r="C63" s="9">
        <v>44425</v>
      </c>
      <c r="D63" t="s">
        <v>129</v>
      </c>
      <c r="E63" t="s">
        <v>130</v>
      </c>
      <c r="F63">
        <v>100</v>
      </c>
      <c r="H63">
        <f t="shared" ref="H63:H72" si="4">H62+G63-F63</f>
        <v>7235</v>
      </c>
    </row>
    <row r="64" spans="2:8" x14ac:dyDescent="0.3">
      <c r="B64" t="s">
        <v>316</v>
      </c>
      <c r="C64" s="9">
        <v>44426</v>
      </c>
      <c r="D64" t="s">
        <v>129</v>
      </c>
      <c r="E64" t="s">
        <v>131</v>
      </c>
      <c r="F64">
        <v>205</v>
      </c>
      <c r="H64">
        <f t="shared" si="4"/>
        <v>7030</v>
      </c>
    </row>
    <row r="65" spans="2:8" x14ac:dyDescent="0.3">
      <c r="B65" t="s">
        <v>317</v>
      </c>
      <c r="C65" s="9">
        <v>44426</v>
      </c>
      <c r="D65" t="s">
        <v>129</v>
      </c>
      <c r="E65" t="s">
        <v>131</v>
      </c>
      <c r="F65">
        <v>205</v>
      </c>
      <c r="H65">
        <f t="shared" si="4"/>
        <v>6825</v>
      </c>
    </row>
    <row r="66" spans="2:8" x14ac:dyDescent="0.3">
      <c r="B66" t="s">
        <v>318</v>
      </c>
      <c r="C66" s="9">
        <v>44426</v>
      </c>
      <c r="D66" t="s">
        <v>129</v>
      </c>
      <c r="E66" t="s">
        <v>135</v>
      </c>
      <c r="F66">
        <v>1850</v>
      </c>
      <c r="H66">
        <f t="shared" si="4"/>
        <v>4975</v>
      </c>
    </row>
    <row r="67" spans="2:8" x14ac:dyDescent="0.3">
      <c r="B67" t="s">
        <v>319</v>
      </c>
      <c r="C67" s="9">
        <v>44431</v>
      </c>
      <c r="D67" t="s">
        <v>129</v>
      </c>
      <c r="E67" t="s">
        <v>132</v>
      </c>
      <c r="F67">
        <v>850</v>
      </c>
      <c r="H67">
        <f t="shared" si="4"/>
        <v>4125</v>
      </c>
    </row>
    <row r="68" spans="2:8" x14ac:dyDescent="0.3">
      <c r="B68" t="s">
        <v>320</v>
      </c>
      <c r="C68" s="9">
        <v>44431</v>
      </c>
      <c r="D68" t="s">
        <v>129</v>
      </c>
      <c r="E68" t="s">
        <v>132</v>
      </c>
      <c r="F68">
        <v>850</v>
      </c>
      <c r="H68">
        <f t="shared" si="4"/>
        <v>3275</v>
      </c>
    </row>
    <row r="69" spans="2:8" x14ac:dyDescent="0.3">
      <c r="B69" t="s">
        <v>321</v>
      </c>
      <c r="C69" s="9">
        <v>44431</v>
      </c>
      <c r="D69" t="s">
        <v>129</v>
      </c>
      <c r="E69" t="s">
        <v>133</v>
      </c>
      <c r="F69">
        <v>288</v>
      </c>
      <c r="H69">
        <f t="shared" si="4"/>
        <v>2987</v>
      </c>
    </row>
    <row r="70" spans="2:8" x14ac:dyDescent="0.3">
      <c r="B70" t="s">
        <v>322</v>
      </c>
      <c r="C70" s="9">
        <v>44431</v>
      </c>
      <c r="D70" t="s">
        <v>129</v>
      </c>
      <c r="E70" t="s">
        <v>133</v>
      </c>
      <c r="F70">
        <v>288</v>
      </c>
      <c r="H70">
        <f t="shared" si="4"/>
        <v>2699</v>
      </c>
    </row>
    <row r="71" spans="2:8" x14ac:dyDescent="0.3">
      <c r="B71" t="s">
        <v>323</v>
      </c>
      <c r="C71" s="9">
        <v>44432</v>
      </c>
      <c r="D71" t="s">
        <v>13</v>
      </c>
      <c r="E71" t="s">
        <v>134</v>
      </c>
      <c r="F71">
        <v>589</v>
      </c>
      <c r="H71">
        <f t="shared" si="4"/>
        <v>2110</v>
      </c>
    </row>
    <row r="72" spans="2:8" x14ac:dyDescent="0.3">
      <c r="B72" t="s">
        <v>324</v>
      </c>
      <c r="C72" s="9">
        <v>44432</v>
      </c>
      <c r="D72" t="s">
        <v>20</v>
      </c>
      <c r="E72" t="s">
        <v>136</v>
      </c>
      <c r="F72">
        <v>290</v>
      </c>
      <c r="H72">
        <f t="shared" si="4"/>
        <v>1820</v>
      </c>
    </row>
    <row r="73" spans="2:8" x14ac:dyDescent="0.3">
      <c r="B73" t="s">
        <v>403</v>
      </c>
      <c r="C73" s="9">
        <v>44421</v>
      </c>
      <c r="D73" t="s">
        <v>13</v>
      </c>
      <c r="E73" t="s">
        <v>98</v>
      </c>
      <c r="F73">
        <v>220</v>
      </c>
      <c r="H73">
        <f>H72+G73-F73</f>
        <v>1600</v>
      </c>
    </row>
    <row r="74" spans="2:8" x14ac:dyDescent="0.3">
      <c r="B74" t="s">
        <v>409</v>
      </c>
      <c r="C74" s="9">
        <v>44287</v>
      </c>
      <c r="D74" t="s">
        <v>13</v>
      </c>
      <c r="E74" t="s">
        <v>14</v>
      </c>
      <c r="F74">
        <v>175</v>
      </c>
      <c r="H74">
        <f>H73+G74-F74</f>
        <v>1425</v>
      </c>
    </row>
    <row r="75" spans="2:8" x14ac:dyDescent="0.3">
      <c r="B75" t="s">
        <v>410</v>
      </c>
      <c r="C75" s="9">
        <v>44292</v>
      </c>
      <c r="D75" t="s">
        <v>13</v>
      </c>
      <c r="E75" t="s">
        <v>22</v>
      </c>
      <c r="F75">
        <v>1640</v>
      </c>
      <c r="H75">
        <f t="shared" ref="H75" si="5">H74+G75-F75</f>
        <v>-215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B2:I29"/>
  <sheetViews>
    <sheetView workbookViewId="0">
      <selection activeCell="B29" sqref="B29:G29"/>
    </sheetView>
  </sheetViews>
  <sheetFormatPr defaultRowHeight="14.4" x14ac:dyDescent="0.3"/>
  <cols>
    <col min="3" max="3" width="10.33203125" bestFit="1" customWidth="1"/>
  </cols>
  <sheetData>
    <row r="2" spans="2:9" ht="15" thickBot="1" x14ac:dyDescent="0.35">
      <c r="B2" s="8" t="s">
        <v>0</v>
      </c>
      <c r="C2" s="8" t="s">
        <v>1</v>
      </c>
      <c r="D2" s="8" t="s">
        <v>2</v>
      </c>
      <c r="E2" s="8" t="s">
        <v>2</v>
      </c>
      <c r="F2" s="8" t="s">
        <v>4</v>
      </c>
      <c r="I2">
        <f>SUM(F:F)</f>
        <v>254156.38</v>
      </c>
    </row>
    <row r="3" spans="2:9" x14ac:dyDescent="0.3">
      <c r="B3" t="s">
        <v>233</v>
      </c>
      <c r="C3" s="9">
        <v>44289</v>
      </c>
      <c r="D3" t="s">
        <v>9</v>
      </c>
      <c r="E3" t="s">
        <v>10</v>
      </c>
      <c r="F3">
        <v>5000</v>
      </c>
    </row>
    <row r="4" spans="2:9" x14ac:dyDescent="0.3">
      <c r="B4" t="s">
        <v>252</v>
      </c>
      <c r="C4" s="9">
        <v>44287</v>
      </c>
      <c r="D4" t="s">
        <v>9</v>
      </c>
      <c r="E4" t="s">
        <v>77</v>
      </c>
      <c r="F4">
        <v>25000</v>
      </c>
    </row>
    <row r="5" spans="2:9" x14ac:dyDescent="0.3">
      <c r="B5" t="s">
        <v>240</v>
      </c>
      <c r="C5" s="9">
        <v>44301</v>
      </c>
      <c r="D5" t="s">
        <v>9</v>
      </c>
      <c r="E5" t="s">
        <v>64</v>
      </c>
      <c r="F5">
        <v>4000</v>
      </c>
    </row>
    <row r="6" spans="2:9" x14ac:dyDescent="0.3">
      <c r="B6" t="s">
        <v>241</v>
      </c>
      <c r="C6" s="9">
        <v>44301</v>
      </c>
      <c r="D6" t="s">
        <v>9</v>
      </c>
      <c r="E6" t="s">
        <v>65</v>
      </c>
      <c r="F6">
        <v>9000</v>
      </c>
    </row>
    <row r="7" spans="2:9" x14ac:dyDescent="0.3">
      <c r="B7" t="s">
        <v>247</v>
      </c>
      <c r="C7" s="9">
        <v>44306</v>
      </c>
      <c r="D7" t="s">
        <v>9</v>
      </c>
      <c r="E7" t="s">
        <v>73</v>
      </c>
      <c r="F7">
        <v>10000</v>
      </c>
    </row>
    <row r="8" spans="2:9" x14ac:dyDescent="0.3">
      <c r="B8" t="s">
        <v>249</v>
      </c>
      <c r="C8" s="9">
        <v>44312</v>
      </c>
      <c r="D8" t="s">
        <v>9</v>
      </c>
      <c r="E8" t="s">
        <v>76</v>
      </c>
      <c r="F8">
        <v>1500</v>
      </c>
    </row>
    <row r="9" spans="2:9" x14ac:dyDescent="0.3">
      <c r="B9" t="s">
        <v>250</v>
      </c>
      <c r="C9" s="9">
        <v>44313</v>
      </c>
      <c r="D9" t="s">
        <v>9</v>
      </c>
      <c r="E9" t="s">
        <v>79</v>
      </c>
      <c r="F9">
        <v>5000</v>
      </c>
    </row>
    <row r="10" spans="2:9" x14ac:dyDescent="0.3">
      <c r="B10" t="s">
        <v>251</v>
      </c>
      <c r="C10" s="9">
        <v>44316</v>
      </c>
      <c r="D10" t="s">
        <v>9</v>
      </c>
      <c r="E10" t="s">
        <v>80</v>
      </c>
      <c r="F10">
        <v>2500</v>
      </c>
    </row>
    <row r="11" spans="2:9" x14ac:dyDescent="0.3">
      <c r="B11" t="s">
        <v>262</v>
      </c>
      <c r="C11" s="9">
        <v>44322</v>
      </c>
      <c r="D11" t="s">
        <v>9</v>
      </c>
      <c r="E11" t="s">
        <v>84</v>
      </c>
      <c r="F11">
        <v>15000</v>
      </c>
    </row>
    <row r="12" spans="2:9" x14ac:dyDescent="0.3">
      <c r="B12" t="s">
        <v>267</v>
      </c>
      <c r="C12" s="9">
        <v>44323</v>
      </c>
      <c r="D12" t="s">
        <v>9</v>
      </c>
      <c r="E12" t="s">
        <v>88</v>
      </c>
      <c r="F12">
        <v>403</v>
      </c>
    </row>
    <row r="13" spans="2:9" x14ac:dyDescent="0.3">
      <c r="B13" t="s">
        <v>273</v>
      </c>
      <c r="C13" s="9">
        <v>44334</v>
      </c>
      <c r="D13" t="s">
        <v>9</v>
      </c>
      <c r="E13" t="s">
        <v>90</v>
      </c>
      <c r="F13">
        <v>50000</v>
      </c>
    </row>
    <row r="14" spans="2:9" x14ac:dyDescent="0.3">
      <c r="B14" t="s">
        <v>274</v>
      </c>
      <c r="C14" s="9">
        <v>44334</v>
      </c>
      <c r="D14" t="s">
        <v>9</v>
      </c>
      <c r="E14" t="s">
        <v>91</v>
      </c>
      <c r="F14">
        <v>5000</v>
      </c>
    </row>
    <row r="15" spans="2:9" x14ac:dyDescent="0.3">
      <c r="B15" t="s">
        <v>280</v>
      </c>
      <c r="C15" s="9">
        <v>44350</v>
      </c>
      <c r="D15" t="s">
        <v>9</v>
      </c>
      <c r="E15" t="s">
        <v>276</v>
      </c>
      <c r="F15">
        <v>5000</v>
      </c>
    </row>
    <row r="16" spans="2:9" x14ac:dyDescent="0.3">
      <c r="B16" t="s">
        <v>291</v>
      </c>
      <c r="C16" s="9">
        <v>44355</v>
      </c>
      <c r="D16" t="s">
        <v>9</v>
      </c>
      <c r="E16" t="s">
        <v>107</v>
      </c>
      <c r="F16">
        <v>8784.06</v>
      </c>
    </row>
    <row r="17" spans="2:6" x14ac:dyDescent="0.3">
      <c r="B17" t="s">
        <v>281</v>
      </c>
      <c r="C17" s="9">
        <v>44351</v>
      </c>
      <c r="D17" t="s">
        <v>9</v>
      </c>
      <c r="E17" t="s">
        <v>101</v>
      </c>
      <c r="F17">
        <v>1000</v>
      </c>
    </row>
    <row r="18" spans="2:6" x14ac:dyDescent="0.3">
      <c r="B18" t="s">
        <v>292</v>
      </c>
      <c r="C18" s="9">
        <v>44364</v>
      </c>
      <c r="D18" t="s">
        <v>9</v>
      </c>
      <c r="E18" t="s">
        <v>108</v>
      </c>
      <c r="F18">
        <v>484.66</v>
      </c>
    </row>
    <row r="19" spans="2:6" x14ac:dyDescent="0.3">
      <c r="B19" t="s">
        <v>293</v>
      </c>
      <c r="C19" s="9">
        <v>44375</v>
      </c>
      <c r="D19" t="s">
        <v>9</v>
      </c>
      <c r="E19" t="s">
        <v>108</v>
      </c>
      <c r="F19">
        <v>484.66</v>
      </c>
    </row>
    <row r="20" spans="2:6" x14ac:dyDescent="0.3">
      <c r="B20" t="s">
        <v>302</v>
      </c>
      <c r="C20" s="9">
        <v>44380</v>
      </c>
      <c r="D20" t="s">
        <v>9</v>
      </c>
      <c r="E20" t="s">
        <v>276</v>
      </c>
      <c r="F20">
        <v>5000</v>
      </c>
    </row>
    <row r="21" spans="2:6" x14ac:dyDescent="0.3">
      <c r="B21" t="s">
        <v>303</v>
      </c>
      <c r="C21" s="9">
        <v>44383</v>
      </c>
      <c r="D21" t="s">
        <v>9</v>
      </c>
      <c r="E21" t="s">
        <v>117</v>
      </c>
      <c r="F21">
        <v>1000</v>
      </c>
    </row>
    <row r="22" spans="2:6" x14ac:dyDescent="0.3">
      <c r="B22" t="s">
        <v>310</v>
      </c>
      <c r="C22" s="9">
        <v>44392</v>
      </c>
      <c r="D22" t="s">
        <v>9</v>
      </c>
      <c r="E22" t="s">
        <v>119</v>
      </c>
      <c r="F22">
        <v>5000</v>
      </c>
    </row>
    <row r="23" spans="2:6" x14ac:dyDescent="0.3">
      <c r="B23" t="s">
        <v>311</v>
      </c>
      <c r="C23" s="9">
        <v>44393</v>
      </c>
      <c r="D23" t="s">
        <v>9</v>
      </c>
      <c r="E23" t="s">
        <v>119</v>
      </c>
      <c r="F23">
        <v>5000</v>
      </c>
    </row>
    <row r="24" spans="2:6" x14ac:dyDescent="0.3">
      <c r="B24" t="s">
        <v>312</v>
      </c>
      <c r="C24" s="9">
        <v>44406</v>
      </c>
      <c r="D24" t="s">
        <v>9</v>
      </c>
      <c r="E24" t="s">
        <v>120</v>
      </c>
      <c r="F24">
        <v>5000</v>
      </c>
    </row>
    <row r="25" spans="2:6" x14ac:dyDescent="0.3">
      <c r="B25" t="s">
        <v>325</v>
      </c>
      <c r="C25" s="9">
        <v>44413</v>
      </c>
      <c r="D25" t="s">
        <v>9</v>
      </c>
      <c r="E25" t="s">
        <v>276</v>
      </c>
      <c r="F25">
        <v>5000</v>
      </c>
    </row>
    <row r="26" spans="2:6" x14ac:dyDescent="0.3">
      <c r="B26" t="s">
        <v>328</v>
      </c>
      <c r="C26" s="9">
        <v>44415</v>
      </c>
      <c r="D26" t="s">
        <v>9</v>
      </c>
      <c r="E26" t="s">
        <v>119</v>
      </c>
      <c r="F26">
        <v>5000</v>
      </c>
    </row>
    <row r="27" spans="2:6" x14ac:dyDescent="0.3">
      <c r="B27" t="s">
        <v>330</v>
      </c>
      <c r="C27" s="9">
        <v>44424</v>
      </c>
      <c r="D27" t="s">
        <v>9</v>
      </c>
      <c r="E27" t="s">
        <v>125</v>
      </c>
      <c r="F27">
        <v>25000</v>
      </c>
    </row>
    <row r="28" spans="2:6" x14ac:dyDescent="0.3">
      <c r="B28" t="s">
        <v>404</v>
      </c>
      <c r="C28" s="9">
        <v>44424</v>
      </c>
      <c r="D28" t="s">
        <v>9</v>
      </c>
      <c r="E28" t="s">
        <v>125</v>
      </c>
      <c r="F28">
        <v>25000</v>
      </c>
    </row>
    <row r="29" spans="2:6" x14ac:dyDescent="0.3">
      <c r="B29" t="s">
        <v>405</v>
      </c>
      <c r="C29" s="9">
        <v>44424</v>
      </c>
      <c r="D29" t="s">
        <v>9</v>
      </c>
      <c r="E29" t="s">
        <v>125</v>
      </c>
      <c r="F29">
        <v>25000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B2:H71"/>
  <sheetViews>
    <sheetView workbookViewId="0">
      <selection activeCell="B4" sqref="B4:H3000"/>
    </sheetView>
  </sheetViews>
  <sheetFormatPr defaultRowHeight="14.4" x14ac:dyDescent="0.3"/>
  <cols>
    <col min="2" max="2" width="12.5546875" bestFit="1" customWidth="1"/>
    <col min="3" max="3" width="10.33203125" bestFit="1" customWidth="1"/>
  </cols>
  <sheetData>
    <row r="2" spans="2:8" ht="15" thickBot="1" x14ac:dyDescent="0.35">
      <c r="B2" s="8" t="s">
        <v>0</v>
      </c>
      <c r="C2" s="8" t="s">
        <v>1</v>
      </c>
      <c r="D2" s="8" t="s">
        <v>2</v>
      </c>
      <c r="E2" s="8" t="s">
        <v>2</v>
      </c>
      <c r="F2" s="8" t="s">
        <v>3</v>
      </c>
      <c r="G2" s="8" t="s">
        <v>4</v>
      </c>
      <c r="H2" s="8" t="s">
        <v>5</v>
      </c>
    </row>
    <row r="3" spans="2:8" x14ac:dyDescent="0.3">
      <c r="B3" t="s">
        <v>338</v>
      </c>
      <c r="C3" s="9">
        <v>44287</v>
      </c>
      <c r="D3" t="s">
        <v>8</v>
      </c>
      <c r="H3">
        <v>166078.70000000001</v>
      </c>
    </row>
    <row r="4" spans="2:8" x14ac:dyDescent="0.3">
      <c r="B4" t="s">
        <v>233</v>
      </c>
      <c r="C4" s="9">
        <v>44289</v>
      </c>
      <c r="D4" t="s">
        <v>9</v>
      </c>
      <c r="E4" t="s">
        <v>10</v>
      </c>
      <c r="G4">
        <v>5000</v>
      </c>
      <c r="H4">
        <f>H3+G4-F4</f>
        <v>171078.7</v>
      </c>
    </row>
    <row r="5" spans="2:8" x14ac:dyDescent="0.3">
      <c r="B5" t="s">
        <v>234</v>
      </c>
      <c r="C5" s="9">
        <v>44291</v>
      </c>
      <c r="D5" t="s">
        <v>11</v>
      </c>
      <c r="E5" t="s">
        <v>12</v>
      </c>
      <c r="F5">
        <v>236</v>
      </c>
      <c r="H5">
        <f t="shared" ref="H5:H22" si="0">H4+G5-F5</f>
        <v>170842.7</v>
      </c>
    </row>
    <row r="6" spans="2:8" x14ac:dyDescent="0.3">
      <c r="B6" s="11" t="s">
        <v>235</v>
      </c>
      <c r="C6" s="12">
        <v>44292</v>
      </c>
      <c r="D6" s="11" t="s">
        <v>17</v>
      </c>
      <c r="E6" s="11" t="s">
        <v>18</v>
      </c>
      <c r="F6" s="11">
        <v>15000</v>
      </c>
      <c r="G6" s="11"/>
      <c r="H6" s="11">
        <f t="shared" si="0"/>
        <v>155842.70000000001</v>
      </c>
    </row>
    <row r="7" spans="2:8" x14ac:dyDescent="0.3">
      <c r="B7" t="s">
        <v>236</v>
      </c>
      <c r="C7" s="9">
        <v>44292</v>
      </c>
      <c r="D7" t="s">
        <v>58</v>
      </c>
      <c r="E7" t="s">
        <v>59</v>
      </c>
      <c r="F7">
        <v>4227</v>
      </c>
      <c r="H7">
        <f t="shared" si="0"/>
        <v>151615.70000000001</v>
      </c>
    </row>
    <row r="8" spans="2:8" x14ac:dyDescent="0.3">
      <c r="B8" t="s">
        <v>237</v>
      </c>
      <c r="C8" s="9">
        <v>44293</v>
      </c>
      <c r="D8" t="s">
        <v>60</v>
      </c>
      <c r="E8" t="s">
        <v>61</v>
      </c>
      <c r="F8">
        <v>6750</v>
      </c>
      <c r="H8">
        <f t="shared" si="0"/>
        <v>144865.70000000001</v>
      </c>
    </row>
    <row r="9" spans="2:8" x14ac:dyDescent="0.3">
      <c r="B9" t="s">
        <v>238</v>
      </c>
      <c r="C9" s="9">
        <v>44293</v>
      </c>
      <c r="D9" t="s">
        <v>60</v>
      </c>
      <c r="E9" t="s">
        <v>62</v>
      </c>
      <c r="F9">
        <v>5250</v>
      </c>
      <c r="H9">
        <f t="shared" si="0"/>
        <v>139615.70000000001</v>
      </c>
    </row>
    <row r="10" spans="2:8" x14ac:dyDescent="0.3">
      <c r="B10" t="s">
        <v>239</v>
      </c>
      <c r="C10" s="9">
        <v>44294</v>
      </c>
      <c r="D10" t="s">
        <v>11</v>
      </c>
      <c r="E10" t="s">
        <v>12</v>
      </c>
      <c r="F10">
        <v>118</v>
      </c>
      <c r="H10">
        <f t="shared" si="0"/>
        <v>139497.70000000001</v>
      </c>
    </row>
    <row r="11" spans="2:8" x14ac:dyDescent="0.3">
      <c r="B11" t="s">
        <v>240</v>
      </c>
      <c r="C11" s="9">
        <v>44301</v>
      </c>
      <c r="D11" t="s">
        <v>9</v>
      </c>
      <c r="E11" t="s">
        <v>64</v>
      </c>
      <c r="G11">
        <v>4000</v>
      </c>
      <c r="H11">
        <f t="shared" si="0"/>
        <v>143497.70000000001</v>
      </c>
    </row>
    <row r="12" spans="2:8" x14ac:dyDescent="0.3">
      <c r="B12" t="s">
        <v>241</v>
      </c>
      <c r="C12" s="9">
        <v>44301</v>
      </c>
      <c r="D12" t="s">
        <v>9</v>
      </c>
      <c r="E12" t="s">
        <v>65</v>
      </c>
      <c r="G12">
        <v>9000</v>
      </c>
      <c r="H12">
        <f t="shared" si="0"/>
        <v>152497.70000000001</v>
      </c>
    </row>
    <row r="13" spans="2:8" x14ac:dyDescent="0.3">
      <c r="B13" t="s">
        <v>242</v>
      </c>
      <c r="C13" s="9">
        <v>44302</v>
      </c>
      <c r="D13" t="s">
        <v>60</v>
      </c>
      <c r="E13" t="s">
        <v>67</v>
      </c>
      <c r="F13">
        <v>7500</v>
      </c>
      <c r="H13">
        <f t="shared" si="0"/>
        <v>144997.70000000001</v>
      </c>
    </row>
    <row r="14" spans="2:8" x14ac:dyDescent="0.3">
      <c r="B14" s="11" t="s">
        <v>243</v>
      </c>
      <c r="C14" s="12">
        <v>44302</v>
      </c>
      <c r="D14" s="11" t="s">
        <v>17</v>
      </c>
      <c r="E14" s="11" t="s">
        <v>18</v>
      </c>
      <c r="F14" s="11">
        <v>10000</v>
      </c>
      <c r="G14" s="11"/>
      <c r="H14" s="11">
        <f t="shared" si="0"/>
        <v>134997.70000000001</v>
      </c>
    </row>
    <row r="15" spans="2:8" x14ac:dyDescent="0.3">
      <c r="B15" t="s">
        <v>244</v>
      </c>
      <c r="C15" s="9">
        <v>44302</v>
      </c>
      <c r="D15" t="s">
        <v>69</v>
      </c>
      <c r="E15" t="s">
        <v>70</v>
      </c>
      <c r="F15">
        <v>17500</v>
      </c>
      <c r="H15">
        <f t="shared" si="0"/>
        <v>117497.70000000001</v>
      </c>
    </row>
    <row r="16" spans="2:8" x14ac:dyDescent="0.3">
      <c r="B16" t="s">
        <v>245</v>
      </c>
      <c r="C16" s="9">
        <v>44302</v>
      </c>
      <c r="D16" t="s">
        <v>60</v>
      </c>
      <c r="E16" t="s">
        <v>68</v>
      </c>
      <c r="F16">
        <v>13050</v>
      </c>
      <c r="H16">
        <f t="shared" si="0"/>
        <v>104447.70000000001</v>
      </c>
    </row>
    <row r="17" spans="2:8" x14ac:dyDescent="0.3">
      <c r="B17" t="s">
        <v>246</v>
      </c>
      <c r="C17" s="9">
        <v>44302</v>
      </c>
      <c r="D17" t="s">
        <v>60</v>
      </c>
      <c r="E17" t="s">
        <v>71</v>
      </c>
      <c r="F17">
        <v>9000</v>
      </c>
      <c r="H17">
        <f t="shared" si="0"/>
        <v>95447.700000000012</v>
      </c>
    </row>
    <row r="18" spans="2:8" x14ac:dyDescent="0.3">
      <c r="B18" t="s">
        <v>247</v>
      </c>
      <c r="C18" s="9">
        <v>44306</v>
      </c>
      <c r="D18" t="s">
        <v>9</v>
      </c>
      <c r="E18" t="s">
        <v>73</v>
      </c>
      <c r="G18">
        <v>10000</v>
      </c>
      <c r="H18">
        <f t="shared" si="0"/>
        <v>105447.70000000001</v>
      </c>
    </row>
    <row r="19" spans="2:8" x14ac:dyDescent="0.3">
      <c r="B19" t="s">
        <v>248</v>
      </c>
      <c r="C19" s="9">
        <v>44307</v>
      </c>
      <c r="D19" t="s">
        <v>58</v>
      </c>
      <c r="E19" t="s">
        <v>59</v>
      </c>
      <c r="F19">
        <v>4432</v>
      </c>
      <c r="H19">
        <f t="shared" si="0"/>
        <v>101015.70000000001</v>
      </c>
    </row>
    <row r="20" spans="2:8" x14ac:dyDescent="0.3">
      <c r="B20" t="s">
        <v>249</v>
      </c>
      <c r="C20" s="9">
        <v>44312</v>
      </c>
      <c r="D20" t="s">
        <v>9</v>
      </c>
      <c r="E20" t="s">
        <v>76</v>
      </c>
      <c r="G20">
        <v>1500</v>
      </c>
      <c r="H20">
        <f t="shared" si="0"/>
        <v>102515.70000000001</v>
      </c>
    </row>
    <row r="21" spans="2:8" x14ac:dyDescent="0.3">
      <c r="B21" t="s">
        <v>250</v>
      </c>
      <c r="C21" s="9">
        <v>44313</v>
      </c>
      <c r="D21" t="s">
        <v>9</v>
      </c>
      <c r="E21" t="s">
        <v>79</v>
      </c>
      <c r="G21">
        <v>5000</v>
      </c>
      <c r="H21">
        <f t="shared" si="0"/>
        <v>107515.70000000001</v>
      </c>
    </row>
    <row r="22" spans="2:8" x14ac:dyDescent="0.3">
      <c r="B22" t="s">
        <v>251</v>
      </c>
      <c r="C22" s="9">
        <v>44316</v>
      </c>
      <c r="D22" t="s">
        <v>9</v>
      </c>
      <c r="E22" t="s">
        <v>80</v>
      </c>
      <c r="G22">
        <v>2500</v>
      </c>
      <c r="H22">
        <f t="shared" si="0"/>
        <v>110015.70000000001</v>
      </c>
    </row>
    <row r="23" spans="2:8" x14ac:dyDescent="0.3">
      <c r="B23" t="s">
        <v>262</v>
      </c>
      <c r="C23" s="9">
        <v>44322</v>
      </c>
      <c r="D23" t="s">
        <v>9</v>
      </c>
      <c r="E23" t="s">
        <v>84</v>
      </c>
      <c r="G23">
        <v>15000</v>
      </c>
      <c r="H23">
        <f>H22+G23-F23</f>
        <v>125015.70000000001</v>
      </c>
    </row>
    <row r="24" spans="2:8" x14ac:dyDescent="0.3">
      <c r="B24" t="s">
        <v>263</v>
      </c>
      <c r="C24" s="9">
        <v>44323</v>
      </c>
      <c r="D24" t="s">
        <v>60</v>
      </c>
      <c r="E24" t="s">
        <v>61</v>
      </c>
      <c r="F24">
        <v>5667</v>
      </c>
      <c r="H24">
        <f t="shared" ref="H24:H35" si="1">H23+G24-F24</f>
        <v>119348.70000000001</v>
      </c>
    </row>
    <row r="25" spans="2:8" x14ac:dyDescent="0.3">
      <c r="B25" t="s">
        <v>264</v>
      </c>
      <c r="C25" s="9">
        <v>44323</v>
      </c>
      <c r="D25" t="s">
        <v>69</v>
      </c>
      <c r="E25" t="s">
        <v>85</v>
      </c>
      <c r="F25">
        <v>17500</v>
      </c>
      <c r="H25">
        <f t="shared" si="1"/>
        <v>101848.70000000001</v>
      </c>
    </row>
    <row r="26" spans="2:8" x14ac:dyDescent="0.3">
      <c r="B26" t="s">
        <v>265</v>
      </c>
      <c r="C26" s="9">
        <v>44323</v>
      </c>
      <c r="D26" t="s">
        <v>11</v>
      </c>
      <c r="F26">
        <v>2.95</v>
      </c>
      <c r="H26">
        <f t="shared" si="1"/>
        <v>101845.75000000001</v>
      </c>
    </row>
    <row r="27" spans="2:8" x14ac:dyDescent="0.3">
      <c r="B27" t="s">
        <v>266</v>
      </c>
      <c r="C27" s="9">
        <v>44323</v>
      </c>
      <c r="D27" t="s">
        <v>86</v>
      </c>
      <c r="E27" t="s">
        <v>87</v>
      </c>
      <c r="F27">
        <v>2360</v>
      </c>
      <c r="H27">
        <f t="shared" si="1"/>
        <v>99485.750000000015</v>
      </c>
    </row>
    <row r="28" spans="2:8" x14ac:dyDescent="0.3">
      <c r="B28" t="s">
        <v>267</v>
      </c>
      <c r="C28" s="9">
        <v>44323</v>
      </c>
      <c r="D28" t="s">
        <v>9</v>
      </c>
      <c r="E28" t="s">
        <v>88</v>
      </c>
      <c r="G28">
        <v>403</v>
      </c>
      <c r="H28">
        <f t="shared" si="1"/>
        <v>99888.750000000015</v>
      </c>
    </row>
    <row r="29" spans="2:8" x14ac:dyDescent="0.3">
      <c r="B29" t="s">
        <v>268</v>
      </c>
      <c r="C29" s="9">
        <v>44323</v>
      </c>
      <c r="D29" t="s">
        <v>60</v>
      </c>
      <c r="E29" t="s">
        <v>62</v>
      </c>
      <c r="F29">
        <v>5250</v>
      </c>
      <c r="H29">
        <f t="shared" si="1"/>
        <v>94638.750000000015</v>
      </c>
    </row>
    <row r="30" spans="2:8" x14ac:dyDescent="0.3">
      <c r="B30" t="s">
        <v>269</v>
      </c>
      <c r="C30" s="9">
        <v>44328</v>
      </c>
      <c r="D30" t="s">
        <v>58</v>
      </c>
      <c r="E30" t="s">
        <v>59</v>
      </c>
      <c r="F30">
        <v>2531</v>
      </c>
      <c r="H30">
        <f t="shared" si="1"/>
        <v>92107.750000000015</v>
      </c>
    </row>
    <row r="31" spans="2:8" x14ac:dyDescent="0.3">
      <c r="B31" t="s">
        <v>270</v>
      </c>
      <c r="C31" s="9">
        <v>44333</v>
      </c>
      <c r="D31" t="s">
        <v>60</v>
      </c>
      <c r="E31" t="s">
        <v>68</v>
      </c>
      <c r="F31">
        <v>11966</v>
      </c>
      <c r="H31">
        <f t="shared" si="1"/>
        <v>80141.750000000015</v>
      </c>
    </row>
    <row r="32" spans="2:8" x14ac:dyDescent="0.3">
      <c r="B32" t="s">
        <v>271</v>
      </c>
      <c r="C32" s="9">
        <v>44333</v>
      </c>
      <c r="D32" t="s">
        <v>60</v>
      </c>
      <c r="E32" t="s">
        <v>67</v>
      </c>
      <c r="F32">
        <v>6541</v>
      </c>
      <c r="H32">
        <f t="shared" si="1"/>
        <v>73600.750000000015</v>
      </c>
    </row>
    <row r="33" spans="2:8" x14ac:dyDescent="0.3">
      <c r="B33" t="s">
        <v>272</v>
      </c>
      <c r="C33" s="9">
        <v>44333</v>
      </c>
      <c r="D33" t="s">
        <v>60</v>
      </c>
      <c r="E33" t="s">
        <v>89</v>
      </c>
      <c r="F33">
        <v>8041</v>
      </c>
      <c r="H33">
        <f t="shared" si="1"/>
        <v>65559.750000000015</v>
      </c>
    </row>
    <row r="34" spans="2:8" x14ac:dyDescent="0.3">
      <c r="B34" t="s">
        <v>273</v>
      </c>
      <c r="C34" s="9">
        <v>44334</v>
      </c>
      <c r="D34" t="s">
        <v>9</v>
      </c>
      <c r="E34" t="s">
        <v>90</v>
      </c>
      <c r="G34">
        <v>50000</v>
      </c>
      <c r="H34">
        <f t="shared" si="1"/>
        <v>115559.75000000001</v>
      </c>
    </row>
    <row r="35" spans="2:8" x14ac:dyDescent="0.3">
      <c r="B35" t="s">
        <v>274</v>
      </c>
      <c r="C35" s="9">
        <v>44334</v>
      </c>
      <c r="D35" t="s">
        <v>9</v>
      </c>
      <c r="E35" t="s">
        <v>91</v>
      </c>
      <c r="G35">
        <v>5000</v>
      </c>
      <c r="H35">
        <f t="shared" si="1"/>
        <v>120559.75000000001</v>
      </c>
    </row>
    <row r="36" spans="2:8" x14ac:dyDescent="0.3">
      <c r="B36" t="s">
        <v>280</v>
      </c>
      <c r="C36" s="9">
        <v>44350</v>
      </c>
      <c r="D36" t="s">
        <v>9</v>
      </c>
      <c r="E36" t="s">
        <v>276</v>
      </c>
      <c r="G36">
        <v>5000</v>
      </c>
      <c r="H36">
        <f>H35+G36-F36</f>
        <v>125559.75000000001</v>
      </c>
    </row>
    <row r="37" spans="2:8" x14ac:dyDescent="0.3">
      <c r="B37" t="s">
        <v>281</v>
      </c>
      <c r="C37" s="9">
        <v>44351</v>
      </c>
      <c r="D37" t="s">
        <v>9</v>
      </c>
      <c r="E37" t="s">
        <v>101</v>
      </c>
      <c r="G37">
        <v>1000</v>
      </c>
      <c r="H37">
        <f t="shared" ref="H37:H46" si="2">H36+G37-F37</f>
        <v>126559.75000000001</v>
      </c>
    </row>
    <row r="38" spans="2:8" x14ac:dyDescent="0.3">
      <c r="B38" t="s">
        <v>282</v>
      </c>
      <c r="C38" s="9">
        <v>44363</v>
      </c>
      <c r="D38" t="s">
        <v>99</v>
      </c>
      <c r="E38" t="s">
        <v>105</v>
      </c>
      <c r="F38">
        <v>17.7</v>
      </c>
      <c r="H38">
        <f t="shared" si="2"/>
        <v>126542.05000000002</v>
      </c>
    </row>
    <row r="39" spans="2:8" x14ac:dyDescent="0.3">
      <c r="B39" t="s">
        <v>283</v>
      </c>
      <c r="C39" s="9">
        <v>44364</v>
      </c>
      <c r="D39" t="s">
        <v>60</v>
      </c>
      <c r="E39" t="s">
        <v>68</v>
      </c>
      <c r="F39">
        <v>8700</v>
      </c>
      <c r="H39">
        <f t="shared" si="2"/>
        <v>117842.05000000002</v>
      </c>
    </row>
    <row r="40" spans="2:8" x14ac:dyDescent="0.3">
      <c r="B40" t="s">
        <v>284</v>
      </c>
      <c r="C40" s="9">
        <v>44364</v>
      </c>
      <c r="D40" t="s">
        <v>60</v>
      </c>
      <c r="E40" t="s">
        <v>102</v>
      </c>
      <c r="F40">
        <v>6000</v>
      </c>
      <c r="H40">
        <f t="shared" si="2"/>
        <v>111842.05000000002</v>
      </c>
    </row>
    <row r="41" spans="2:8" x14ac:dyDescent="0.3">
      <c r="B41" t="s">
        <v>285</v>
      </c>
      <c r="C41" s="9">
        <v>44364</v>
      </c>
      <c r="D41" t="s">
        <v>60</v>
      </c>
      <c r="E41" t="s">
        <v>62</v>
      </c>
      <c r="F41">
        <v>4500</v>
      </c>
      <c r="H41">
        <f t="shared" si="2"/>
        <v>107342.05000000002</v>
      </c>
    </row>
    <row r="42" spans="2:8" x14ac:dyDescent="0.3">
      <c r="B42" t="s">
        <v>286</v>
      </c>
      <c r="C42" s="9">
        <v>44364</v>
      </c>
      <c r="D42" t="s">
        <v>60</v>
      </c>
      <c r="E42" t="s">
        <v>61</v>
      </c>
      <c r="F42">
        <v>3500</v>
      </c>
      <c r="H42">
        <f t="shared" si="2"/>
        <v>103842.05000000002</v>
      </c>
    </row>
    <row r="43" spans="2:8" x14ac:dyDescent="0.3">
      <c r="B43" t="s">
        <v>287</v>
      </c>
      <c r="C43" s="9">
        <v>44364</v>
      </c>
      <c r="D43" t="s">
        <v>99</v>
      </c>
      <c r="E43" t="s">
        <v>103</v>
      </c>
      <c r="F43">
        <v>5.9</v>
      </c>
      <c r="H43">
        <f t="shared" si="2"/>
        <v>103836.15000000002</v>
      </c>
    </row>
    <row r="44" spans="2:8" x14ac:dyDescent="0.3">
      <c r="B44" t="s">
        <v>288</v>
      </c>
      <c r="C44" s="9">
        <v>44364</v>
      </c>
      <c r="D44" t="s">
        <v>100</v>
      </c>
      <c r="E44" t="s">
        <v>104</v>
      </c>
      <c r="F44">
        <v>22752</v>
      </c>
      <c r="H44">
        <f t="shared" si="2"/>
        <v>81084.150000000023</v>
      </c>
    </row>
    <row r="45" spans="2:8" x14ac:dyDescent="0.3">
      <c r="B45" t="s">
        <v>289</v>
      </c>
      <c r="C45" s="9">
        <v>44364</v>
      </c>
      <c r="D45" t="s">
        <v>69</v>
      </c>
      <c r="E45" t="s">
        <v>70</v>
      </c>
      <c r="F45">
        <v>17500</v>
      </c>
      <c r="H45">
        <f t="shared" si="2"/>
        <v>63584.150000000023</v>
      </c>
    </row>
    <row r="46" spans="2:8" x14ac:dyDescent="0.3">
      <c r="B46" t="s">
        <v>290</v>
      </c>
      <c r="C46" s="9">
        <v>44365</v>
      </c>
      <c r="D46" t="s">
        <v>60</v>
      </c>
      <c r="E46" t="s">
        <v>92</v>
      </c>
      <c r="F46">
        <v>5000</v>
      </c>
      <c r="H46">
        <f t="shared" si="2"/>
        <v>58584.150000000023</v>
      </c>
    </row>
    <row r="47" spans="2:8" x14ac:dyDescent="0.3">
      <c r="B47" t="s">
        <v>302</v>
      </c>
      <c r="C47" s="9">
        <v>44380</v>
      </c>
      <c r="D47" t="s">
        <v>9</v>
      </c>
      <c r="E47" t="s">
        <v>276</v>
      </c>
      <c r="G47">
        <v>5000</v>
      </c>
      <c r="H47">
        <f>SUM(H46+G47-F47)</f>
        <v>63584.150000000023</v>
      </c>
    </row>
    <row r="48" spans="2:8" x14ac:dyDescent="0.3">
      <c r="B48" t="s">
        <v>303</v>
      </c>
      <c r="C48" s="9">
        <v>44383</v>
      </c>
      <c r="D48" t="s">
        <v>9</v>
      </c>
      <c r="E48" t="s">
        <v>117</v>
      </c>
      <c r="G48">
        <v>1000</v>
      </c>
      <c r="H48">
        <f t="shared" ref="H48:H57" si="3">SUM(H47+G48-F48)</f>
        <v>64584.150000000023</v>
      </c>
    </row>
    <row r="49" spans="2:8" x14ac:dyDescent="0.3">
      <c r="B49" t="s">
        <v>304</v>
      </c>
      <c r="C49" s="9">
        <v>44386</v>
      </c>
      <c r="D49" t="s">
        <v>69</v>
      </c>
      <c r="E49" t="s">
        <v>118</v>
      </c>
      <c r="F49">
        <v>17500</v>
      </c>
      <c r="H49">
        <f t="shared" si="3"/>
        <v>47084.150000000023</v>
      </c>
    </row>
    <row r="50" spans="2:8" x14ac:dyDescent="0.3">
      <c r="B50" t="s">
        <v>305</v>
      </c>
      <c r="C50" s="9">
        <v>44386</v>
      </c>
      <c r="D50" t="s">
        <v>60</v>
      </c>
      <c r="E50" t="s">
        <v>61</v>
      </c>
      <c r="F50">
        <v>4500</v>
      </c>
      <c r="H50">
        <f t="shared" si="3"/>
        <v>42584.150000000023</v>
      </c>
    </row>
    <row r="51" spans="2:8" x14ac:dyDescent="0.3">
      <c r="B51" s="11" t="s">
        <v>306</v>
      </c>
      <c r="C51" s="12">
        <v>44389</v>
      </c>
      <c r="D51" s="11" t="s">
        <v>17</v>
      </c>
      <c r="E51" s="11" t="s">
        <v>18</v>
      </c>
      <c r="F51" s="11">
        <v>10000</v>
      </c>
      <c r="G51" s="11"/>
      <c r="H51" s="11">
        <f t="shared" si="3"/>
        <v>32584.150000000023</v>
      </c>
    </row>
    <row r="52" spans="2:8" x14ac:dyDescent="0.3">
      <c r="B52" t="s">
        <v>307</v>
      </c>
      <c r="C52" s="9">
        <v>44389</v>
      </c>
      <c r="D52" t="s">
        <v>60</v>
      </c>
      <c r="E52" t="s">
        <v>62</v>
      </c>
      <c r="F52">
        <v>3500</v>
      </c>
      <c r="H52">
        <f t="shared" si="3"/>
        <v>29084.150000000023</v>
      </c>
    </row>
    <row r="53" spans="2:8" x14ac:dyDescent="0.3">
      <c r="B53" t="s">
        <v>308</v>
      </c>
      <c r="C53" s="9">
        <v>44392</v>
      </c>
      <c r="D53" t="s">
        <v>60</v>
      </c>
      <c r="E53" t="s">
        <v>68</v>
      </c>
      <c r="F53">
        <v>8700</v>
      </c>
      <c r="H53">
        <f t="shared" si="3"/>
        <v>20384.150000000023</v>
      </c>
    </row>
    <row r="54" spans="2:8" x14ac:dyDescent="0.3">
      <c r="B54" t="s">
        <v>309</v>
      </c>
      <c r="C54" s="9">
        <v>44392</v>
      </c>
      <c r="D54" t="s">
        <v>60</v>
      </c>
      <c r="E54" t="s">
        <v>102</v>
      </c>
      <c r="F54">
        <v>6000</v>
      </c>
      <c r="H54">
        <f t="shared" si="3"/>
        <v>14384.150000000023</v>
      </c>
    </row>
    <row r="55" spans="2:8" x14ac:dyDescent="0.3">
      <c r="B55" t="s">
        <v>310</v>
      </c>
      <c r="C55" s="9">
        <v>44392</v>
      </c>
      <c r="D55" t="s">
        <v>9</v>
      </c>
      <c r="E55" t="s">
        <v>119</v>
      </c>
      <c r="G55">
        <v>5000</v>
      </c>
      <c r="H55">
        <f t="shared" si="3"/>
        <v>19384.150000000023</v>
      </c>
    </row>
    <row r="56" spans="2:8" x14ac:dyDescent="0.3">
      <c r="B56" t="s">
        <v>311</v>
      </c>
      <c r="C56" s="9">
        <v>44393</v>
      </c>
      <c r="D56" t="s">
        <v>9</v>
      </c>
      <c r="E56" t="s">
        <v>119</v>
      </c>
      <c r="G56">
        <v>5000</v>
      </c>
      <c r="H56">
        <f t="shared" si="3"/>
        <v>24384.150000000023</v>
      </c>
    </row>
    <row r="57" spans="2:8" x14ac:dyDescent="0.3">
      <c r="B57" t="s">
        <v>312</v>
      </c>
      <c r="C57" s="9">
        <v>44406</v>
      </c>
      <c r="D57" t="s">
        <v>9</v>
      </c>
      <c r="E57" t="s">
        <v>120</v>
      </c>
      <c r="G57">
        <v>5000</v>
      </c>
      <c r="H57">
        <f t="shared" si="3"/>
        <v>29384.150000000023</v>
      </c>
    </row>
    <row r="58" spans="2:8" x14ac:dyDescent="0.3">
      <c r="B58" t="s">
        <v>326</v>
      </c>
      <c r="C58" s="9">
        <v>44410</v>
      </c>
      <c r="D58" t="s">
        <v>60</v>
      </c>
      <c r="E58" t="s">
        <v>67</v>
      </c>
      <c r="F58">
        <v>5000</v>
      </c>
      <c r="H58" s="13">
        <f>H57+G58-F58</f>
        <v>24384.150000000023</v>
      </c>
    </row>
    <row r="59" spans="2:8" x14ac:dyDescent="0.3">
      <c r="B59" t="s">
        <v>325</v>
      </c>
      <c r="C59" s="9">
        <v>44413</v>
      </c>
      <c r="D59" t="s">
        <v>9</v>
      </c>
      <c r="E59" t="s">
        <v>276</v>
      </c>
      <c r="G59">
        <v>5000</v>
      </c>
      <c r="H59" s="13">
        <f t="shared" ref="H59:H69" si="4">H58+G59-F59</f>
        <v>29384.150000000023</v>
      </c>
    </row>
    <row r="60" spans="2:8" x14ac:dyDescent="0.3">
      <c r="B60" t="s">
        <v>327</v>
      </c>
      <c r="C60" s="9">
        <v>44414</v>
      </c>
      <c r="D60" t="s">
        <v>60</v>
      </c>
      <c r="E60" t="s">
        <v>124</v>
      </c>
      <c r="F60">
        <v>4500</v>
      </c>
      <c r="H60" s="13">
        <f t="shared" si="4"/>
        <v>24884.150000000023</v>
      </c>
    </row>
    <row r="61" spans="2:8" x14ac:dyDescent="0.3">
      <c r="B61" t="s">
        <v>328</v>
      </c>
      <c r="C61" s="9">
        <v>44415</v>
      </c>
      <c r="D61" t="s">
        <v>9</v>
      </c>
      <c r="E61" t="s">
        <v>119</v>
      </c>
      <c r="G61">
        <v>5000</v>
      </c>
      <c r="H61" s="13">
        <f t="shared" si="4"/>
        <v>29884.150000000023</v>
      </c>
    </row>
    <row r="62" spans="2:8" x14ac:dyDescent="0.3">
      <c r="B62" t="s">
        <v>329</v>
      </c>
      <c r="C62" s="9">
        <v>44417</v>
      </c>
      <c r="D62" t="s">
        <v>60</v>
      </c>
      <c r="E62" t="s">
        <v>62</v>
      </c>
      <c r="F62">
        <v>3500</v>
      </c>
      <c r="H62" s="13">
        <f t="shared" si="4"/>
        <v>26384.150000000023</v>
      </c>
    </row>
    <row r="63" spans="2:8" x14ac:dyDescent="0.3">
      <c r="B63" t="s">
        <v>330</v>
      </c>
      <c r="C63" s="9">
        <v>44424</v>
      </c>
      <c r="D63" t="s">
        <v>9</v>
      </c>
      <c r="E63" t="s">
        <v>125</v>
      </c>
      <c r="G63">
        <v>25000</v>
      </c>
      <c r="H63" s="13">
        <f t="shared" si="4"/>
        <v>51384.150000000023</v>
      </c>
    </row>
    <row r="64" spans="2:8" x14ac:dyDescent="0.3">
      <c r="B64" t="s">
        <v>331</v>
      </c>
      <c r="C64" s="9">
        <v>44425</v>
      </c>
      <c r="D64" t="s">
        <v>60</v>
      </c>
      <c r="E64" t="s">
        <v>102</v>
      </c>
      <c r="F64">
        <v>6000</v>
      </c>
      <c r="H64" s="13">
        <f t="shared" si="4"/>
        <v>45384.150000000023</v>
      </c>
    </row>
    <row r="65" spans="2:8" x14ac:dyDescent="0.3">
      <c r="B65" t="s">
        <v>332</v>
      </c>
      <c r="C65" s="9">
        <v>44425</v>
      </c>
      <c r="D65" t="s">
        <v>60</v>
      </c>
      <c r="E65" t="s">
        <v>68</v>
      </c>
      <c r="F65">
        <v>8700</v>
      </c>
      <c r="H65" s="13">
        <f t="shared" si="4"/>
        <v>36684.150000000023</v>
      </c>
    </row>
    <row r="66" spans="2:8" x14ac:dyDescent="0.3">
      <c r="B66" t="s">
        <v>333</v>
      </c>
      <c r="C66" s="9">
        <v>44425</v>
      </c>
      <c r="D66" t="s">
        <v>60</v>
      </c>
      <c r="E66" t="s">
        <v>67</v>
      </c>
      <c r="F66">
        <v>5000</v>
      </c>
      <c r="H66" s="13">
        <f t="shared" si="4"/>
        <v>31684.150000000023</v>
      </c>
    </row>
    <row r="67" spans="2:8" x14ac:dyDescent="0.3">
      <c r="B67" t="s">
        <v>334</v>
      </c>
      <c r="C67" s="9">
        <v>44427</v>
      </c>
      <c r="D67" t="s">
        <v>69</v>
      </c>
      <c r="E67" t="s">
        <v>70</v>
      </c>
      <c r="F67">
        <v>17500</v>
      </c>
      <c r="H67" s="13">
        <f t="shared" si="4"/>
        <v>14184.150000000023</v>
      </c>
    </row>
    <row r="68" spans="2:8" x14ac:dyDescent="0.3">
      <c r="B68" t="s">
        <v>335</v>
      </c>
      <c r="D68" t="s">
        <v>126</v>
      </c>
      <c r="E68" t="s">
        <v>127</v>
      </c>
      <c r="F68">
        <v>13105</v>
      </c>
      <c r="H68" s="13">
        <f t="shared" si="4"/>
        <v>1079.1500000000233</v>
      </c>
    </row>
    <row r="69" spans="2:8" x14ac:dyDescent="0.3">
      <c r="B69" t="s">
        <v>404</v>
      </c>
      <c r="C69" s="9">
        <v>44424</v>
      </c>
      <c r="D69" t="s">
        <v>9</v>
      </c>
      <c r="E69" t="s">
        <v>125</v>
      </c>
      <c r="G69">
        <v>25000</v>
      </c>
      <c r="H69" s="13">
        <f t="shared" si="4"/>
        <v>26079.150000000023</v>
      </c>
    </row>
    <row r="70" spans="2:8" x14ac:dyDescent="0.3">
      <c r="B70" t="s">
        <v>406</v>
      </c>
      <c r="C70" s="9">
        <v>44302</v>
      </c>
      <c r="D70" t="s">
        <v>69</v>
      </c>
      <c r="E70" t="s">
        <v>70</v>
      </c>
      <c r="F70">
        <v>17500</v>
      </c>
      <c r="H70">
        <f>H69+G70-F70</f>
        <v>8579.1500000000233</v>
      </c>
    </row>
    <row r="71" spans="2:8" x14ac:dyDescent="0.3">
      <c r="B71" t="s">
        <v>407</v>
      </c>
      <c r="C71" s="9">
        <v>44302</v>
      </c>
      <c r="D71" t="s">
        <v>60</v>
      </c>
      <c r="E71" t="s">
        <v>68</v>
      </c>
      <c r="F71">
        <v>13050</v>
      </c>
      <c r="H71">
        <f t="shared" ref="H71" si="5">H70+G71-F71</f>
        <v>-4470.8499999999767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B1:H11"/>
  <sheetViews>
    <sheetView workbookViewId="0">
      <selection activeCell="B4" sqref="B4:H3000"/>
    </sheetView>
  </sheetViews>
  <sheetFormatPr defaultRowHeight="14.4" x14ac:dyDescent="0.3"/>
  <cols>
    <col min="2" max="2" width="12.5546875" bestFit="1" customWidth="1"/>
    <col min="3" max="3" width="10.33203125" bestFit="1" customWidth="1"/>
    <col min="5" max="5" width="15.109375" bestFit="1" customWidth="1"/>
  </cols>
  <sheetData>
    <row r="1" spans="2:8" ht="15" thickBot="1" x14ac:dyDescent="0.35"/>
    <row r="2" spans="2:8" ht="15" thickBot="1" x14ac:dyDescent="0.35">
      <c r="B2" s="7" t="s">
        <v>0</v>
      </c>
      <c r="C2" s="7" t="s">
        <v>1</v>
      </c>
      <c r="D2" s="7" t="s">
        <v>2</v>
      </c>
      <c r="E2" s="7" t="s">
        <v>2</v>
      </c>
      <c r="F2" s="7" t="s">
        <v>3</v>
      </c>
      <c r="G2" s="7" t="s">
        <v>4</v>
      </c>
      <c r="H2" s="7" t="s">
        <v>5</v>
      </c>
    </row>
    <row r="3" spans="2:8" x14ac:dyDescent="0.3">
      <c r="B3" t="s">
        <v>339</v>
      </c>
      <c r="C3" s="9">
        <v>44287</v>
      </c>
      <c r="D3" t="s">
        <v>8</v>
      </c>
      <c r="H3">
        <v>29791.5</v>
      </c>
    </row>
    <row r="4" spans="2:8" x14ac:dyDescent="0.3">
      <c r="B4" t="s">
        <v>252</v>
      </c>
      <c r="C4" s="9">
        <v>44287</v>
      </c>
      <c r="D4" t="s">
        <v>9</v>
      </c>
      <c r="E4" t="s">
        <v>77</v>
      </c>
      <c r="G4">
        <v>25000</v>
      </c>
      <c r="H4">
        <f>H3+G4-F4</f>
        <v>54791.5</v>
      </c>
    </row>
    <row r="5" spans="2:8" x14ac:dyDescent="0.3">
      <c r="B5" t="s">
        <v>275</v>
      </c>
      <c r="C5" s="9">
        <v>44340</v>
      </c>
      <c r="D5" t="s">
        <v>83</v>
      </c>
      <c r="G5">
        <v>142.91999999999999</v>
      </c>
      <c r="H5">
        <f>H4+G5</f>
        <v>54934.42</v>
      </c>
    </row>
    <row r="6" spans="2:8" x14ac:dyDescent="0.3">
      <c r="B6" t="s">
        <v>291</v>
      </c>
      <c r="C6" s="9">
        <v>44355</v>
      </c>
      <c r="D6" t="s">
        <v>9</v>
      </c>
      <c r="E6" t="s">
        <v>107</v>
      </c>
      <c r="G6">
        <v>8784.06</v>
      </c>
      <c r="H6">
        <f>H5+G6-F6</f>
        <v>63718.479999999996</v>
      </c>
    </row>
    <row r="7" spans="2:8" x14ac:dyDescent="0.3">
      <c r="B7" t="s">
        <v>292</v>
      </c>
      <c r="C7" s="9">
        <v>44364</v>
      </c>
      <c r="D7" t="s">
        <v>9</v>
      </c>
      <c r="E7" t="s">
        <v>108</v>
      </c>
      <c r="G7">
        <v>484.66</v>
      </c>
      <c r="H7">
        <f t="shared" ref="H7:H8" si="0">H6+G7-F7</f>
        <v>64203.14</v>
      </c>
    </row>
    <row r="8" spans="2:8" x14ac:dyDescent="0.3">
      <c r="B8" t="s">
        <v>293</v>
      </c>
      <c r="C8" s="9">
        <v>44375</v>
      </c>
      <c r="D8" t="s">
        <v>9</v>
      </c>
      <c r="E8" t="s">
        <v>108</v>
      </c>
      <c r="G8">
        <v>484.66</v>
      </c>
      <c r="H8">
        <f t="shared" si="0"/>
        <v>64687.8</v>
      </c>
    </row>
    <row r="9" spans="2:8" x14ac:dyDescent="0.3">
      <c r="B9" t="s">
        <v>313</v>
      </c>
      <c r="C9" s="9">
        <v>44403</v>
      </c>
      <c r="D9" t="s">
        <v>121</v>
      </c>
      <c r="E9" t="s">
        <v>128</v>
      </c>
      <c r="G9">
        <v>484.66</v>
      </c>
      <c r="H9">
        <f>SUM(H8+G9-F9)</f>
        <v>65172.460000000006</v>
      </c>
    </row>
    <row r="10" spans="2:8" x14ac:dyDescent="0.3">
      <c r="B10" t="s">
        <v>336</v>
      </c>
      <c r="C10" s="9">
        <v>44420</v>
      </c>
      <c r="D10" t="s">
        <v>121</v>
      </c>
      <c r="E10" t="s">
        <v>128</v>
      </c>
      <c r="G10">
        <v>484.66</v>
      </c>
      <c r="H10">
        <f>H9+G10-F10</f>
        <v>65657.12000000001</v>
      </c>
    </row>
    <row r="11" spans="2:8" x14ac:dyDescent="0.3">
      <c r="B11" t="s">
        <v>405</v>
      </c>
      <c r="C11" s="9">
        <v>44424</v>
      </c>
      <c r="D11" t="s">
        <v>9</v>
      </c>
      <c r="E11" t="s">
        <v>125</v>
      </c>
      <c r="G11">
        <v>25000</v>
      </c>
      <c r="H11" s="13">
        <f t="shared" ref="H11" si="1">H10+G11-F11</f>
        <v>90657.12000000001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3:K30"/>
  <sheetViews>
    <sheetView topLeftCell="A17" workbookViewId="0">
      <selection activeCell="J30" sqref="J30"/>
    </sheetView>
  </sheetViews>
  <sheetFormatPr defaultRowHeight="14.4" x14ac:dyDescent="0.3"/>
  <cols>
    <col min="1" max="1" width="19.77734375" bestFit="1" customWidth="1"/>
    <col min="2" max="2" width="15.21875" bestFit="1" customWidth="1"/>
    <col min="4" max="4" width="19.77734375" bestFit="1" customWidth="1"/>
    <col min="5" max="5" width="15.21875" bestFit="1" customWidth="1"/>
    <col min="6" max="6" width="14.6640625" customWidth="1"/>
    <col min="7" max="7" width="14.6640625" bestFit="1" customWidth="1"/>
    <col min="8" max="8" width="15.21875" bestFit="1" customWidth="1"/>
    <col min="9" max="9" width="15.21875" customWidth="1"/>
    <col min="10" max="10" width="20.44140625" customWidth="1"/>
    <col min="15" max="15" width="15.44140625" bestFit="1" customWidth="1"/>
    <col min="16" max="16" width="21.88671875" bestFit="1" customWidth="1"/>
  </cols>
  <sheetData>
    <row r="3" spans="1:11" x14ac:dyDescent="0.3">
      <c r="A3" s="31" t="s">
        <v>352</v>
      </c>
      <c r="B3" t="s">
        <v>355</v>
      </c>
      <c r="D3" s="31" t="s">
        <v>352</v>
      </c>
      <c r="E3" t="s">
        <v>355</v>
      </c>
      <c r="G3" s="31" t="s">
        <v>352</v>
      </c>
      <c r="H3" t="s">
        <v>355</v>
      </c>
      <c r="J3" t="s">
        <v>356</v>
      </c>
      <c r="K3" t="s">
        <v>357</v>
      </c>
    </row>
    <row r="4" spans="1:11" x14ac:dyDescent="0.3">
      <c r="A4" s="32" t="s">
        <v>129</v>
      </c>
      <c r="B4" s="45">
        <v>6822</v>
      </c>
      <c r="D4" s="32" t="s">
        <v>86</v>
      </c>
      <c r="E4" s="45">
        <v>2360</v>
      </c>
      <c r="G4" s="32" t="s">
        <v>9</v>
      </c>
      <c r="H4" s="45"/>
      <c r="J4" s="32" t="s">
        <v>129</v>
      </c>
      <c r="K4" s="45">
        <v>6822</v>
      </c>
    </row>
    <row r="5" spans="1:11" x14ac:dyDescent="0.3">
      <c r="A5" s="32" t="s">
        <v>15</v>
      </c>
      <c r="B5" s="45">
        <v>6811</v>
      </c>
      <c r="D5" s="32" t="s">
        <v>11</v>
      </c>
      <c r="E5" s="45">
        <v>380.54999999999995</v>
      </c>
      <c r="G5" s="32" t="s">
        <v>83</v>
      </c>
      <c r="H5" s="45"/>
      <c r="J5" s="32" t="s">
        <v>15</v>
      </c>
      <c r="K5" s="45">
        <v>6811</v>
      </c>
    </row>
    <row r="6" spans="1:11" x14ac:dyDescent="0.3">
      <c r="A6" s="32" t="s">
        <v>32</v>
      </c>
      <c r="B6" s="45">
        <v>2425</v>
      </c>
      <c r="D6" s="32" t="s">
        <v>9</v>
      </c>
      <c r="E6" s="45"/>
      <c r="G6" s="32" t="s">
        <v>8</v>
      </c>
      <c r="H6" s="45"/>
      <c r="J6" s="32" t="s">
        <v>32</v>
      </c>
      <c r="K6" s="45">
        <v>2425</v>
      </c>
    </row>
    <row r="7" spans="1:11" x14ac:dyDescent="0.3">
      <c r="A7" s="32" t="s">
        <v>34</v>
      </c>
      <c r="B7" s="45">
        <v>112</v>
      </c>
      <c r="D7" s="32" t="s">
        <v>100</v>
      </c>
      <c r="E7" s="45">
        <v>22752</v>
      </c>
      <c r="G7" s="32" t="s">
        <v>354</v>
      </c>
      <c r="H7" s="45"/>
      <c r="J7" s="32" t="s">
        <v>34</v>
      </c>
      <c r="K7" s="45">
        <v>112</v>
      </c>
    </row>
    <row r="8" spans="1:11" x14ac:dyDescent="0.3">
      <c r="A8" s="32" t="s">
        <v>8</v>
      </c>
      <c r="B8" s="45"/>
      <c r="D8" s="32" t="s">
        <v>8</v>
      </c>
      <c r="E8" s="45"/>
      <c r="G8" s="32" t="s">
        <v>353</v>
      </c>
      <c r="H8" s="45"/>
      <c r="J8" s="32" t="s">
        <v>8</v>
      </c>
      <c r="K8" s="45"/>
    </row>
    <row r="9" spans="1:11" x14ac:dyDescent="0.3">
      <c r="A9" s="32" t="s">
        <v>47</v>
      </c>
      <c r="B9" s="45">
        <v>41</v>
      </c>
      <c r="D9" s="32" t="s">
        <v>58</v>
      </c>
      <c r="E9" s="45">
        <v>11190</v>
      </c>
      <c r="J9" s="32" t="s">
        <v>47</v>
      </c>
      <c r="K9" s="45">
        <v>41</v>
      </c>
    </row>
    <row r="10" spans="1:11" x14ac:dyDescent="0.3">
      <c r="A10" s="32" t="s">
        <v>93</v>
      </c>
      <c r="B10" s="45">
        <v>250</v>
      </c>
      <c r="D10" s="32" t="s">
        <v>69</v>
      </c>
      <c r="E10" s="45">
        <v>105000</v>
      </c>
      <c r="J10" s="32" t="s">
        <v>93</v>
      </c>
      <c r="K10" s="45">
        <v>250</v>
      </c>
    </row>
    <row r="11" spans="1:11" x14ac:dyDescent="0.3">
      <c r="A11" s="32" t="s">
        <v>20</v>
      </c>
      <c r="B11" s="45">
        <v>1568</v>
      </c>
      <c r="D11" s="32" t="s">
        <v>60</v>
      </c>
      <c r="E11" s="45">
        <v>175165</v>
      </c>
      <c r="J11" s="32" t="s">
        <v>20</v>
      </c>
      <c r="K11" s="45">
        <v>1568</v>
      </c>
    </row>
    <row r="12" spans="1:11" x14ac:dyDescent="0.3">
      <c r="A12" s="32" t="s">
        <v>23</v>
      </c>
      <c r="B12" s="45">
        <v>4681</v>
      </c>
      <c r="D12" s="32" t="s">
        <v>126</v>
      </c>
      <c r="E12" s="45">
        <v>13105</v>
      </c>
      <c r="J12" s="32" t="s">
        <v>23</v>
      </c>
      <c r="K12" s="45">
        <v>4681</v>
      </c>
    </row>
    <row r="13" spans="1:11" x14ac:dyDescent="0.3">
      <c r="A13" s="32" t="s">
        <v>13</v>
      </c>
      <c r="B13" s="45">
        <v>15019</v>
      </c>
      <c r="D13" s="32" t="s">
        <v>17</v>
      </c>
      <c r="E13" s="45">
        <v>35000</v>
      </c>
      <c r="J13" s="32" t="s">
        <v>13</v>
      </c>
      <c r="K13" s="45">
        <v>15019</v>
      </c>
    </row>
    <row r="14" spans="1:11" x14ac:dyDescent="0.3">
      <c r="A14" s="32" t="s">
        <v>17</v>
      </c>
      <c r="B14" s="45"/>
      <c r="D14" s="32" t="s">
        <v>354</v>
      </c>
      <c r="E14" s="45"/>
      <c r="J14" s="32" t="s">
        <v>17</v>
      </c>
      <c r="K14" s="45"/>
    </row>
    <row r="15" spans="1:11" x14ac:dyDescent="0.3">
      <c r="A15" s="32" t="s">
        <v>354</v>
      </c>
      <c r="B15" s="45"/>
      <c r="D15" s="32" t="s">
        <v>353</v>
      </c>
      <c r="E15" s="45">
        <v>364952.55</v>
      </c>
      <c r="J15" s="32" t="s">
        <v>354</v>
      </c>
      <c r="K15" s="45"/>
    </row>
    <row r="16" spans="1:11" x14ac:dyDescent="0.3">
      <c r="A16" s="32" t="s">
        <v>353</v>
      </c>
      <c r="B16" s="45">
        <v>37729</v>
      </c>
      <c r="J16" s="32" t="s">
        <v>86</v>
      </c>
      <c r="K16" s="45">
        <v>2360</v>
      </c>
    </row>
    <row r="17" spans="10:11" x14ac:dyDescent="0.3">
      <c r="J17" s="32" t="s">
        <v>11</v>
      </c>
      <c r="K17" s="45">
        <v>380.54999999999995</v>
      </c>
    </row>
    <row r="18" spans="10:11" x14ac:dyDescent="0.3">
      <c r="J18" s="32" t="s">
        <v>9</v>
      </c>
      <c r="K18" s="45"/>
    </row>
    <row r="19" spans="10:11" x14ac:dyDescent="0.3">
      <c r="J19" s="32" t="s">
        <v>100</v>
      </c>
      <c r="K19" s="45">
        <v>22752</v>
      </c>
    </row>
    <row r="20" spans="10:11" x14ac:dyDescent="0.3">
      <c r="J20" s="32" t="s">
        <v>8</v>
      </c>
      <c r="K20" s="45"/>
    </row>
    <row r="21" spans="10:11" x14ac:dyDescent="0.3">
      <c r="J21" s="32" t="s">
        <v>58</v>
      </c>
      <c r="K21" s="45">
        <v>11190</v>
      </c>
    </row>
    <row r="22" spans="10:11" x14ac:dyDescent="0.3">
      <c r="J22" s="32" t="s">
        <v>69</v>
      </c>
      <c r="K22" s="45">
        <v>105000</v>
      </c>
    </row>
    <row r="23" spans="10:11" x14ac:dyDescent="0.3">
      <c r="J23" s="32" t="s">
        <v>60</v>
      </c>
      <c r="K23" s="45">
        <v>175165</v>
      </c>
    </row>
    <row r="24" spans="10:11" x14ac:dyDescent="0.3">
      <c r="J24" s="32" t="s">
        <v>126</v>
      </c>
      <c r="K24" s="45">
        <v>13105</v>
      </c>
    </row>
    <row r="25" spans="10:11" x14ac:dyDescent="0.3">
      <c r="J25" s="32" t="s">
        <v>17</v>
      </c>
      <c r="K25" s="45">
        <v>35000</v>
      </c>
    </row>
    <row r="26" spans="10:11" x14ac:dyDescent="0.3">
      <c r="J26" s="32" t="s">
        <v>354</v>
      </c>
      <c r="K26" s="45"/>
    </row>
    <row r="27" spans="10:11" x14ac:dyDescent="0.3">
      <c r="J27" s="32" t="s">
        <v>9</v>
      </c>
      <c r="K27" s="45"/>
    </row>
    <row r="28" spans="10:11" x14ac:dyDescent="0.3">
      <c r="J28" s="32" t="s">
        <v>83</v>
      </c>
      <c r="K28" s="45"/>
    </row>
    <row r="29" spans="10:11" x14ac:dyDescent="0.3">
      <c r="J29" s="32" t="s">
        <v>8</v>
      </c>
      <c r="K29" s="45"/>
    </row>
    <row r="30" spans="10:11" x14ac:dyDescent="0.3">
      <c r="J30" s="32" t="s">
        <v>354</v>
      </c>
      <c r="K30" s="45"/>
    </row>
  </sheetData>
  <dataConsolidate topLabels="1" link="1">
    <dataRefs count="2">
      <dataRef ref="A3:B18" sheet="Consolidated"/>
      <dataRef ref="D3:E15" sheet="Consolidated"/>
    </dataRefs>
  </dataConsolid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B3:H20"/>
  <sheetViews>
    <sheetView workbookViewId="0">
      <selection activeCell="G20" sqref="G20"/>
    </sheetView>
  </sheetViews>
  <sheetFormatPr defaultRowHeight="14.4" x14ac:dyDescent="0.3"/>
  <cols>
    <col min="2" max="2" width="19.77734375" bestFit="1" customWidth="1"/>
    <col min="3" max="3" width="7.44140625" bestFit="1" customWidth="1"/>
    <col min="5" max="5" width="19.77734375" bestFit="1" customWidth="1"/>
    <col min="6" max="6" width="14.44140625" customWidth="1"/>
    <col min="7" max="7" width="15.44140625" bestFit="1" customWidth="1"/>
    <col min="8" max="8" width="14.44140625" bestFit="1" customWidth="1"/>
  </cols>
  <sheetData>
    <row r="3" spans="2:8" x14ac:dyDescent="0.3">
      <c r="B3" s="33" t="s">
        <v>356</v>
      </c>
      <c r="C3" s="33" t="s">
        <v>357</v>
      </c>
      <c r="G3" s="31" t="s">
        <v>352</v>
      </c>
      <c r="H3" t="s">
        <v>358</v>
      </c>
    </row>
    <row r="4" spans="2:8" x14ac:dyDescent="0.3">
      <c r="B4" s="32" t="s">
        <v>129</v>
      </c>
      <c r="C4" s="45">
        <v>6822</v>
      </c>
      <c r="G4" s="32" t="s">
        <v>86</v>
      </c>
      <c r="H4" s="45">
        <v>2360</v>
      </c>
    </row>
    <row r="5" spans="2:8" x14ac:dyDescent="0.3">
      <c r="B5" s="32" t="s">
        <v>15</v>
      </c>
      <c r="C5" s="45">
        <v>6811</v>
      </c>
      <c r="G5" s="32" t="s">
        <v>11</v>
      </c>
      <c r="H5" s="45">
        <v>380.54999999999995</v>
      </c>
    </row>
    <row r="6" spans="2:8" x14ac:dyDescent="0.3">
      <c r="B6" s="32" t="s">
        <v>32</v>
      </c>
      <c r="C6" s="45">
        <v>2425</v>
      </c>
      <c r="G6" s="32" t="s">
        <v>129</v>
      </c>
      <c r="H6" s="45">
        <v>6822</v>
      </c>
    </row>
    <row r="7" spans="2:8" x14ac:dyDescent="0.3">
      <c r="B7" s="32" t="s">
        <v>34</v>
      </c>
      <c r="C7" s="45">
        <v>112</v>
      </c>
      <c r="G7" s="32" t="s">
        <v>15</v>
      </c>
      <c r="H7" s="45">
        <v>6811</v>
      </c>
    </row>
    <row r="8" spans="2:8" x14ac:dyDescent="0.3">
      <c r="B8" s="32" t="s">
        <v>47</v>
      </c>
      <c r="C8" s="45">
        <v>41</v>
      </c>
      <c r="G8" s="32" t="s">
        <v>100</v>
      </c>
      <c r="H8" s="45">
        <v>22752</v>
      </c>
    </row>
    <row r="9" spans="2:8" x14ac:dyDescent="0.3">
      <c r="B9" s="32" t="s">
        <v>93</v>
      </c>
      <c r="C9" s="45">
        <v>250</v>
      </c>
      <c r="G9" s="32" t="s">
        <v>32</v>
      </c>
      <c r="H9" s="45">
        <v>2425</v>
      </c>
    </row>
    <row r="10" spans="2:8" x14ac:dyDescent="0.3">
      <c r="B10" s="32" t="s">
        <v>20</v>
      </c>
      <c r="C10" s="45">
        <v>1568</v>
      </c>
      <c r="G10" s="32" t="s">
        <v>34</v>
      </c>
      <c r="H10" s="45">
        <v>112</v>
      </c>
    </row>
    <row r="11" spans="2:8" x14ac:dyDescent="0.3">
      <c r="B11" s="32" t="s">
        <v>23</v>
      </c>
      <c r="C11" s="45">
        <v>4681</v>
      </c>
      <c r="G11" s="32" t="s">
        <v>47</v>
      </c>
      <c r="H11" s="45">
        <v>41</v>
      </c>
    </row>
    <row r="12" spans="2:8" x14ac:dyDescent="0.3">
      <c r="B12" s="32" t="s">
        <v>13</v>
      </c>
      <c r="C12" s="45">
        <v>15019</v>
      </c>
      <c r="G12" s="32" t="s">
        <v>58</v>
      </c>
      <c r="H12" s="45">
        <v>11190</v>
      </c>
    </row>
    <row r="13" spans="2:8" x14ac:dyDescent="0.3">
      <c r="B13" s="32" t="s">
        <v>86</v>
      </c>
      <c r="C13" s="45">
        <v>2360</v>
      </c>
      <c r="G13" s="32" t="s">
        <v>69</v>
      </c>
      <c r="H13" s="45">
        <v>105000</v>
      </c>
    </row>
    <row r="14" spans="2:8" x14ac:dyDescent="0.3">
      <c r="B14" s="32" t="s">
        <v>11</v>
      </c>
      <c r="C14" s="45">
        <v>380.54999999999995</v>
      </c>
      <c r="G14" s="32" t="s">
        <v>93</v>
      </c>
      <c r="H14" s="45">
        <v>250</v>
      </c>
    </row>
    <row r="15" spans="2:8" x14ac:dyDescent="0.3">
      <c r="B15" s="32" t="s">
        <v>100</v>
      </c>
      <c r="C15" s="45">
        <v>22752</v>
      </c>
      <c r="G15" s="32" t="s">
        <v>60</v>
      </c>
      <c r="H15" s="45">
        <v>175165</v>
      </c>
    </row>
    <row r="16" spans="2:8" x14ac:dyDescent="0.3">
      <c r="B16" s="32" t="s">
        <v>58</v>
      </c>
      <c r="C16" s="45">
        <v>11190</v>
      </c>
      <c r="G16" s="32" t="s">
        <v>126</v>
      </c>
      <c r="H16" s="45">
        <v>13105</v>
      </c>
    </row>
    <row r="17" spans="2:8" x14ac:dyDescent="0.3">
      <c r="B17" s="32" t="s">
        <v>69</v>
      </c>
      <c r="C17" s="45">
        <v>105000</v>
      </c>
      <c r="G17" s="32" t="s">
        <v>20</v>
      </c>
      <c r="H17" s="45">
        <v>1568</v>
      </c>
    </row>
    <row r="18" spans="2:8" x14ac:dyDescent="0.3">
      <c r="B18" s="32" t="s">
        <v>60</v>
      </c>
      <c r="C18" s="45">
        <v>175165</v>
      </c>
      <c r="G18" s="32" t="s">
        <v>23</v>
      </c>
      <c r="H18" s="45">
        <v>4681</v>
      </c>
    </row>
    <row r="19" spans="2:8" x14ac:dyDescent="0.3">
      <c r="B19" s="32" t="s">
        <v>126</v>
      </c>
      <c r="C19" s="45">
        <v>13105</v>
      </c>
      <c r="G19" s="32" t="s">
        <v>13</v>
      </c>
      <c r="H19" s="45">
        <v>15019</v>
      </c>
    </row>
    <row r="20" spans="2:8" x14ac:dyDescent="0.3">
      <c r="B20" s="32" t="s">
        <v>17</v>
      </c>
      <c r="C20" s="45">
        <v>35000</v>
      </c>
      <c r="G20" s="32" t="s">
        <v>353</v>
      </c>
      <c r="H20" s="45">
        <v>367681.55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B1:W61"/>
  <sheetViews>
    <sheetView topLeftCell="M1" workbookViewId="0">
      <selection activeCell="V6" sqref="V6"/>
    </sheetView>
  </sheetViews>
  <sheetFormatPr defaultRowHeight="14.4" x14ac:dyDescent="0.3"/>
  <cols>
    <col min="3" max="3" width="10.33203125" bestFit="1" customWidth="1"/>
    <col min="10" max="10" width="19.77734375" customWidth="1"/>
    <col min="11" max="11" width="15.21875" customWidth="1"/>
    <col min="12" max="12" width="16.33203125" customWidth="1"/>
    <col min="19" max="19" width="12.5546875" bestFit="1" customWidth="1"/>
    <col min="20" max="20" width="15.21875" bestFit="1" customWidth="1"/>
    <col min="22" max="22" width="12.5546875" bestFit="1" customWidth="1"/>
    <col min="23" max="23" width="15.21875" bestFit="1" customWidth="1"/>
  </cols>
  <sheetData>
    <row r="1" spans="2:23" ht="15" thickBot="1" x14ac:dyDescent="0.35"/>
    <row r="2" spans="2:23" ht="15" thickBot="1" x14ac:dyDescent="0.35">
      <c r="B2" s="4" t="s">
        <v>0</v>
      </c>
      <c r="C2" s="28" t="s">
        <v>1</v>
      </c>
      <c r="D2" s="5" t="s">
        <v>2</v>
      </c>
      <c r="E2" s="7" t="s">
        <v>2</v>
      </c>
      <c r="F2" s="5" t="s">
        <v>3</v>
      </c>
      <c r="G2" s="7" t="s">
        <v>4</v>
      </c>
      <c r="H2" s="6" t="s">
        <v>5</v>
      </c>
      <c r="K2" s="4" t="s">
        <v>408</v>
      </c>
      <c r="L2" s="28" t="s">
        <v>6</v>
      </c>
      <c r="M2" s="5"/>
      <c r="N2" s="5"/>
      <c r="O2" s="5"/>
      <c r="P2" s="5"/>
      <c r="Q2" s="6"/>
      <c r="S2" s="31" t="s">
        <v>352</v>
      </c>
      <c r="T2" t="s">
        <v>355</v>
      </c>
      <c r="V2" s="31" t="s">
        <v>352</v>
      </c>
      <c r="W2" t="s">
        <v>355</v>
      </c>
    </row>
    <row r="3" spans="2:23" ht="15" thickBot="1" x14ac:dyDescent="0.35">
      <c r="B3" t="s">
        <v>337</v>
      </c>
      <c r="C3" s="9">
        <v>44287</v>
      </c>
      <c r="D3" t="s">
        <v>8</v>
      </c>
      <c r="H3">
        <v>2514</v>
      </c>
      <c r="K3" s="4" t="s">
        <v>0</v>
      </c>
      <c r="L3" s="28" t="s">
        <v>1</v>
      </c>
      <c r="M3" s="5" t="s">
        <v>2</v>
      </c>
      <c r="N3" s="7" t="s">
        <v>2</v>
      </c>
      <c r="O3" s="5" t="s">
        <v>3</v>
      </c>
      <c r="P3" s="7" t="s">
        <v>4</v>
      </c>
      <c r="Q3" s="6" t="s">
        <v>5</v>
      </c>
      <c r="S3" s="32" t="s">
        <v>69</v>
      </c>
      <c r="T3" s="45">
        <v>17500</v>
      </c>
      <c r="V3" s="32" t="s">
        <v>69</v>
      </c>
      <c r="W3" s="45">
        <v>17500</v>
      </c>
    </row>
    <row r="4" spans="2:23" x14ac:dyDescent="0.3">
      <c r="B4" t="s">
        <v>195</v>
      </c>
      <c r="C4" s="9">
        <v>44287</v>
      </c>
      <c r="D4" t="s">
        <v>13</v>
      </c>
      <c r="E4" t="s">
        <v>14</v>
      </c>
      <c r="F4">
        <v>175</v>
      </c>
      <c r="H4">
        <f>H3+G4-F4</f>
        <v>2339</v>
      </c>
      <c r="K4" t="s">
        <v>400</v>
      </c>
      <c r="L4" s="15">
        <v>44409</v>
      </c>
      <c r="M4" s="13" t="s">
        <v>8</v>
      </c>
      <c r="N4" s="13"/>
      <c r="O4" s="13"/>
      <c r="P4" s="13"/>
      <c r="Q4">
        <v>60000</v>
      </c>
      <c r="S4" s="32" t="s">
        <v>60</v>
      </c>
      <c r="T4" s="45">
        <v>41550</v>
      </c>
      <c r="V4" s="32" t="s">
        <v>60</v>
      </c>
      <c r="W4" s="45">
        <v>13050</v>
      </c>
    </row>
    <row r="5" spans="2:23" x14ac:dyDescent="0.3">
      <c r="B5" t="s">
        <v>196</v>
      </c>
      <c r="C5" s="9">
        <v>44291</v>
      </c>
      <c r="D5" t="s">
        <v>15</v>
      </c>
      <c r="E5" t="s">
        <v>16</v>
      </c>
      <c r="F5">
        <v>530</v>
      </c>
      <c r="H5">
        <f t="shared" ref="H5:H41" si="0">H4+G5-F5</f>
        <v>1809</v>
      </c>
      <c r="K5" t="s">
        <v>409</v>
      </c>
      <c r="L5" s="9">
        <v>44287</v>
      </c>
      <c r="M5" t="s">
        <v>13</v>
      </c>
      <c r="N5" t="s">
        <v>14</v>
      </c>
      <c r="O5">
        <v>175</v>
      </c>
      <c r="Q5">
        <f>Q4+P5-O5</f>
        <v>59825</v>
      </c>
      <c r="S5" s="32" t="s">
        <v>13</v>
      </c>
      <c r="T5" s="45">
        <v>4554</v>
      </c>
      <c r="V5" s="32" t="s">
        <v>13</v>
      </c>
      <c r="W5" s="45">
        <v>1815</v>
      </c>
    </row>
    <row r="6" spans="2:23" x14ac:dyDescent="0.3">
      <c r="B6" s="11" t="s">
        <v>197</v>
      </c>
      <c r="C6" s="12">
        <v>44292</v>
      </c>
      <c r="D6" s="11" t="s">
        <v>17</v>
      </c>
      <c r="E6" s="11" t="s">
        <v>18</v>
      </c>
      <c r="F6" s="11"/>
      <c r="G6" s="11">
        <v>15000</v>
      </c>
      <c r="H6" s="11">
        <f t="shared" si="0"/>
        <v>16809</v>
      </c>
      <c r="K6" t="s">
        <v>410</v>
      </c>
      <c r="L6" s="9">
        <v>44292</v>
      </c>
      <c r="M6" t="s">
        <v>13</v>
      </c>
      <c r="N6" t="s">
        <v>22</v>
      </c>
      <c r="O6">
        <v>1640</v>
      </c>
      <c r="Q6">
        <f t="shared" ref="Q6" si="1">Q5+P6-O6</f>
        <v>58185</v>
      </c>
      <c r="S6" s="32" t="s">
        <v>353</v>
      </c>
      <c r="T6" s="45">
        <v>63604</v>
      </c>
      <c r="V6" s="32" t="s">
        <v>353</v>
      </c>
      <c r="W6" s="45">
        <v>32365</v>
      </c>
    </row>
    <row r="7" spans="2:23" x14ac:dyDescent="0.3">
      <c r="B7" t="s">
        <v>198</v>
      </c>
      <c r="C7" s="9">
        <v>44292</v>
      </c>
      <c r="D7" t="s">
        <v>15</v>
      </c>
      <c r="E7" t="s">
        <v>19</v>
      </c>
      <c r="F7">
        <v>462</v>
      </c>
      <c r="H7">
        <f t="shared" si="0"/>
        <v>16347</v>
      </c>
      <c r="K7" t="s">
        <v>401</v>
      </c>
      <c r="L7" s="15">
        <v>44409</v>
      </c>
      <c r="M7" s="13" t="s">
        <v>8</v>
      </c>
      <c r="N7" s="13"/>
      <c r="O7" s="13"/>
      <c r="P7" s="13"/>
      <c r="Q7">
        <v>60000</v>
      </c>
    </row>
    <row r="8" spans="2:23" x14ac:dyDescent="0.3">
      <c r="B8" t="s">
        <v>199</v>
      </c>
      <c r="C8" s="9">
        <v>44292</v>
      </c>
      <c r="D8" t="s">
        <v>20</v>
      </c>
      <c r="E8" t="s">
        <v>21</v>
      </c>
      <c r="F8">
        <v>220</v>
      </c>
      <c r="H8">
        <f t="shared" si="0"/>
        <v>16127</v>
      </c>
      <c r="K8" t="s">
        <v>406</v>
      </c>
      <c r="L8" s="9">
        <v>44302</v>
      </c>
      <c r="M8" t="s">
        <v>69</v>
      </c>
      <c r="N8" t="s">
        <v>70</v>
      </c>
      <c r="O8">
        <v>17500</v>
      </c>
      <c r="Q8">
        <f>Q7+P8-O8</f>
        <v>42500</v>
      </c>
    </row>
    <row r="9" spans="2:23" x14ac:dyDescent="0.3">
      <c r="B9" t="s">
        <v>200</v>
      </c>
      <c r="C9" s="9">
        <v>44292</v>
      </c>
      <c r="D9" t="s">
        <v>13</v>
      </c>
      <c r="E9" t="s">
        <v>22</v>
      </c>
      <c r="F9">
        <v>1640</v>
      </c>
      <c r="H9">
        <f t="shared" si="0"/>
        <v>14487</v>
      </c>
      <c r="K9" t="s">
        <v>407</v>
      </c>
      <c r="L9" s="9">
        <v>44302</v>
      </c>
      <c r="M9" t="s">
        <v>60</v>
      </c>
      <c r="N9" t="s">
        <v>68</v>
      </c>
      <c r="O9">
        <v>13050</v>
      </c>
      <c r="Q9">
        <f t="shared" ref="Q9" si="2">Q8+P9-O9</f>
        <v>29450</v>
      </c>
    </row>
    <row r="10" spans="2:23" x14ac:dyDescent="0.3">
      <c r="B10" t="s">
        <v>201</v>
      </c>
      <c r="C10" s="9">
        <v>44292</v>
      </c>
      <c r="D10" t="s">
        <v>23</v>
      </c>
      <c r="E10" t="s">
        <v>24</v>
      </c>
      <c r="F10">
        <v>120</v>
      </c>
      <c r="H10">
        <f t="shared" si="0"/>
        <v>14367</v>
      </c>
      <c r="K10" t="s">
        <v>402</v>
      </c>
      <c r="L10" s="15">
        <v>44409</v>
      </c>
      <c r="M10" s="13" t="s">
        <v>8</v>
      </c>
      <c r="N10" s="13"/>
      <c r="O10" s="13"/>
      <c r="P10" s="13"/>
      <c r="Q10">
        <v>60000</v>
      </c>
    </row>
    <row r="11" spans="2:23" x14ac:dyDescent="0.3">
      <c r="B11" t="s">
        <v>202</v>
      </c>
      <c r="C11" s="9">
        <v>44293</v>
      </c>
      <c r="D11" t="s">
        <v>23</v>
      </c>
      <c r="E11" t="s">
        <v>25</v>
      </c>
      <c r="F11">
        <v>780</v>
      </c>
      <c r="H11">
        <f t="shared" si="0"/>
        <v>13587</v>
      </c>
    </row>
    <row r="12" spans="2:23" x14ac:dyDescent="0.3">
      <c r="B12" t="s">
        <v>203</v>
      </c>
      <c r="C12" s="9">
        <v>44293</v>
      </c>
      <c r="D12" t="s">
        <v>20</v>
      </c>
      <c r="E12" t="s">
        <v>26</v>
      </c>
      <c r="F12">
        <v>78</v>
      </c>
      <c r="H12">
        <f t="shared" si="0"/>
        <v>13509</v>
      </c>
    </row>
    <row r="13" spans="2:23" x14ac:dyDescent="0.3">
      <c r="B13" t="s">
        <v>204</v>
      </c>
      <c r="C13" s="9">
        <v>44294</v>
      </c>
      <c r="D13" t="s">
        <v>23</v>
      </c>
      <c r="E13" t="s">
        <v>27</v>
      </c>
      <c r="F13">
        <v>391</v>
      </c>
      <c r="H13">
        <f t="shared" si="0"/>
        <v>13118</v>
      </c>
    </row>
    <row r="14" spans="2:23" x14ac:dyDescent="0.3">
      <c r="B14" t="s">
        <v>205</v>
      </c>
      <c r="C14" s="9">
        <v>44294</v>
      </c>
      <c r="D14" t="s">
        <v>20</v>
      </c>
      <c r="E14" t="s">
        <v>28</v>
      </c>
      <c r="F14">
        <v>20</v>
      </c>
      <c r="H14">
        <f t="shared" si="0"/>
        <v>13098</v>
      </c>
    </row>
    <row r="15" spans="2:23" x14ac:dyDescent="0.3">
      <c r="B15" t="s">
        <v>206</v>
      </c>
      <c r="C15" s="9">
        <v>44294</v>
      </c>
      <c r="D15" t="s">
        <v>15</v>
      </c>
      <c r="E15" t="s">
        <v>16</v>
      </c>
      <c r="F15">
        <v>167</v>
      </c>
      <c r="H15">
        <f t="shared" si="0"/>
        <v>12931</v>
      </c>
    </row>
    <row r="16" spans="2:23" x14ac:dyDescent="0.3">
      <c r="B16" t="s">
        <v>207</v>
      </c>
      <c r="C16" s="9">
        <v>44294</v>
      </c>
      <c r="D16" t="s">
        <v>20</v>
      </c>
      <c r="E16" t="s">
        <v>29</v>
      </c>
      <c r="F16">
        <v>900</v>
      </c>
      <c r="H16">
        <f t="shared" si="0"/>
        <v>12031</v>
      </c>
    </row>
    <row r="17" spans="2:8" x14ac:dyDescent="0.3">
      <c r="B17" t="s">
        <v>208</v>
      </c>
      <c r="C17" s="9">
        <v>44294</v>
      </c>
      <c r="D17" t="s">
        <v>15</v>
      </c>
      <c r="E17" t="s">
        <v>30</v>
      </c>
      <c r="F17">
        <v>200</v>
      </c>
      <c r="H17">
        <f t="shared" si="0"/>
        <v>11831</v>
      </c>
    </row>
    <row r="18" spans="2:8" x14ac:dyDescent="0.3">
      <c r="B18" t="s">
        <v>209</v>
      </c>
      <c r="C18" s="9">
        <v>44298</v>
      </c>
      <c r="D18" t="s">
        <v>15</v>
      </c>
      <c r="E18" t="s">
        <v>31</v>
      </c>
      <c r="F18">
        <v>630</v>
      </c>
      <c r="H18">
        <f t="shared" si="0"/>
        <v>11201</v>
      </c>
    </row>
    <row r="19" spans="2:8" x14ac:dyDescent="0.3">
      <c r="B19" t="s">
        <v>210</v>
      </c>
      <c r="C19" s="9">
        <v>44298</v>
      </c>
      <c r="D19" t="s">
        <v>32</v>
      </c>
      <c r="E19" t="s">
        <v>33</v>
      </c>
      <c r="F19">
        <v>500</v>
      </c>
      <c r="H19">
        <f t="shared" si="0"/>
        <v>10701</v>
      </c>
    </row>
    <row r="20" spans="2:8" x14ac:dyDescent="0.3">
      <c r="B20" t="s">
        <v>211</v>
      </c>
      <c r="C20" s="9">
        <v>44298</v>
      </c>
      <c r="D20" t="s">
        <v>34</v>
      </c>
      <c r="E20" t="s">
        <v>35</v>
      </c>
      <c r="F20">
        <v>112</v>
      </c>
      <c r="H20">
        <f t="shared" si="0"/>
        <v>10589</v>
      </c>
    </row>
    <row r="21" spans="2:8" x14ac:dyDescent="0.3">
      <c r="B21" t="s">
        <v>212</v>
      </c>
      <c r="C21" s="9">
        <v>44298</v>
      </c>
      <c r="D21" t="s">
        <v>15</v>
      </c>
      <c r="E21" t="s">
        <v>19</v>
      </c>
      <c r="F21">
        <v>462</v>
      </c>
      <c r="H21">
        <f t="shared" si="0"/>
        <v>10127</v>
      </c>
    </row>
    <row r="22" spans="2:8" x14ac:dyDescent="0.3">
      <c r="B22" t="s">
        <v>213</v>
      </c>
      <c r="C22" s="9">
        <v>44298</v>
      </c>
      <c r="D22" t="s">
        <v>15</v>
      </c>
      <c r="E22" t="s">
        <v>19</v>
      </c>
      <c r="F22">
        <v>66</v>
      </c>
      <c r="H22">
        <f t="shared" si="0"/>
        <v>10061</v>
      </c>
    </row>
    <row r="23" spans="2:8" x14ac:dyDescent="0.3">
      <c r="B23" t="s">
        <v>214</v>
      </c>
      <c r="C23" s="9">
        <v>44298</v>
      </c>
      <c r="D23" t="s">
        <v>13</v>
      </c>
      <c r="E23" t="s">
        <v>37</v>
      </c>
      <c r="F23">
        <v>1869</v>
      </c>
      <c r="H23">
        <f t="shared" si="0"/>
        <v>8192</v>
      </c>
    </row>
    <row r="24" spans="2:8" x14ac:dyDescent="0.3">
      <c r="B24" t="s">
        <v>215</v>
      </c>
      <c r="C24" s="9">
        <v>44301</v>
      </c>
      <c r="D24" t="s">
        <v>32</v>
      </c>
      <c r="E24" t="s">
        <v>39</v>
      </c>
      <c r="F24">
        <v>1652</v>
      </c>
      <c r="H24">
        <f t="shared" si="0"/>
        <v>6540</v>
      </c>
    </row>
    <row r="25" spans="2:8" x14ac:dyDescent="0.3">
      <c r="B25" t="s">
        <v>216</v>
      </c>
      <c r="C25" s="9">
        <v>44301</v>
      </c>
      <c r="D25" t="s">
        <v>15</v>
      </c>
      <c r="E25" t="s">
        <v>30</v>
      </c>
      <c r="F25">
        <v>150</v>
      </c>
      <c r="H25">
        <f t="shared" si="0"/>
        <v>6390</v>
      </c>
    </row>
    <row r="26" spans="2:8" x14ac:dyDescent="0.3">
      <c r="B26" t="s">
        <v>217</v>
      </c>
      <c r="C26" s="9">
        <v>44301</v>
      </c>
      <c r="D26" t="s">
        <v>23</v>
      </c>
      <c r="E26" t="s">
        <v>40</v>
      </c>
      <c r="F26">
        <v>430</v>
      </c>
      <c r="H26">
        <f t="shared" si="0"/>
        <v>5960</v>
      </c>
    </row>
    <row r="27" spans="2:8" x14ac:dyDescent="0.3">
      <c r="B27" t="s">
        <v>218</v>
      </c>
      <c r="C27" s="9">
        <v>44301</v>
      </c>
      <c r="D27" t="s">
        <v>15</v>
      </c>
      <c r="E27" t="s">
        <v>41</v>
      </c>
      <c r="F27">
        <v>377</v>
      </c>
      <c r="H27">
        <f t="shared" si="0"/>
        <v>5583</v>
      </c>
    </row>
    <row r="28" spans="2:8" x14ac:dyDescent="0.3">
      <c r="B28" t="s">
        <v>219</v>
      </c>
      <c r="C28" s="9">
        <v>44301</v>
      </c>
      <c r="D28" t="s">
        <v>15</v>
      </c>
      <c r="E28" t="s">
        <v>42</v>
      </c>
      <c r="F28">
        <v>600</v>
      </c>
      <c r="H28">
        <f t="shared" si="0"/>
        <v>4983</v>
      </c>
    </row>
    <row r="29" spans="2:8" x14ac:dyDescent="0.3">
      <c r="B29" t="s">
        <v>220</v>
      </c>
      <c r="C29" s="9">
        <v>44301</v>
      </c>
      <c r="D29" t="s">
        <v>23</v>
      </c>
      <c r="E29" t="s">
        <v>43</v>
      </c>
      <c r="F29">
        <v>1890</v>
      </c>
      <c r="H29">
        <f t="shared" si="0"/>
        <v>3093</v>
      </c>
    </row>
    <row r="30" spans="2:8" x14ac:dyDescent="0.3">
      <c r="B30" s="11" t="s">
        <v>221</v>
      </c>
      <c r="C30" s="12">
        <v>44302</v>
      </c>
      <c r="D30" s="11" t="s">
        <v>17</v>
      </c>
      <c r="E30" s="11" t="s">
        <v>18</v>
      </c>
      <c r="F30" s="11"/>
      <c r="G30" s="11">
        <v>10000</v>
      </c>
      <c r="H30" s="11">
        <f t="shared" si="0"/>
        <v>13093</v>
      </c>
    </row>
    <row r="31" spans="2:8" x14ac:dyDescent="0.3">
      <c r="B31" t="s">
        <v>222</v>
      </c>
      <c r="C31" s="9">
        <v>13</v>
      </c>
      <c r="D31" t="s">
        <v>23</v>
      </c>
      <c r="E31" t="s">
        <v>24</v>
      </c>
      <c r="F31">
        <v>100</v>
      </c>
      <c r="H31">
        <f t="shared" si="0"/>
        <v>12993</v>
      </c>
    </row>
    <row r="32" spans="2:8" x14ac:dyDescent="0.3">
      <c r="B32" t="s">
        <v>223</v>
      </c>
      <c r="C32" s="9">
        <v>44305</v>
      </c>
      <c r="D32" t="s">
        <v>15</v>
      </c>
      <c r="E32" t="s">
        <v>16</v>
      </c>
      <c r="F32">
        <v>640</v>
      </c>
      <c r="H32">
        <f t="shared" si="0"/>
        <v>12353</v>
      </c>
    </row>
    <row r="33" spans="2:8" x14ac:dyDescent="0.3">
      <c r="B33" t="s">
        <v>224</v>
      </c>
      <c r="C33" s="9">
        <v>44306</v>
      </c>
      <c r="D33" t="s">
        <v>15</v>
      </c>
      <c r="E33" t="s">
        <v>19</v>
      </c>
      <c r="F33">
        <v>462</v>
      </c>
      <c r="H33">
        <f t="shared" si="0"/>
        <v>11891</v>
      </c>
    </row>
    <row r="34" spans="2:8" x14ac:dyDescent="0.3">
      <c r="B34" t="s">
        <v>225</v>
      </c>
      <c r="C34" s="9">
        <v>44306</v>
      </c>
      <c r="D34" t="s">
        <v>47</v>
      </c>
      <c r="E34" t="s">
        <v>48</v>
      </c>
      <c r="F34">
        <v>41</v>
      </c>
      <c r="H34">
        <f t="shared" si="0"/>
        <v>11850</v>
      </c>
    </row>
    <row r="35" spans="2:8" x14ac:dyDescent="0.3">
      <c r="B35" t="s">
        <v>226</v>
      </c>
      <c r="C35" s="9">
        <v>44308</v>
      </c>
      <c r="D35" t="s">
        <v>13</v>
      </c>
      <c r="E35" t="s">
        <v>50</v>
      </c>
      <c r="F35">
        <v>590</v>
      </c>
      <c r="H35">
        <f t="shared" si="0"/>
        <v>11260</v>
      </c>
    </row>
    <row r="36" spans="2:8" x14ac:dyDescent="0.3">
      <c r="B36" t="s">
        <v>227</v>
      </c>
      <c r="C36" s="9">
        <v>44312</v>
      </c>
      <c r="D36" t="s">
        <v>15</v>
      </c>
      <c r="E36" t="s">
        <v>16</v>
      </c>
      <c r="F36">
        <v>521</v>
      </c>
      <c r="H36">
        <f t="shared" si="0"/>
        <v>10739</v>
      </c>
    </row>
    <row r="37" spans="2:8" x14ac:dyDescent="0.3">
      <c r="B37" t="s">
        <v>228</v>
      </c>
      <c r="C37" s="9">
        <v>44312</v>
      </c>
      <c r="D37" t="s">
        <v>15</v>
      </c>
      <c r="E37" t="s">
        <v>30</v>
      </c>
      <c r="F37">
        <v>200</v>
      </c>
      <c r="H37">
        <f t="shared" si="0"/>
        <v>10539</v>
      </c>
    </row>
    <row r="38" spans="2:8" x14ac:dyDescent="0.3">
      <c r="B38" t="s">
        <v>229</v>
      </c>
      <c r="C38" s="9">
        <v>44313</v>
      </c>
      <c r="D38" t="s">
        <v>15</v>
      </c>
      <c r="E38" t="s">
        <v>19</v>
      </c>
      <c r="F38">
        <v>462</v>
      </c>
      <c r="H38">
        <f t="shared" si="0"/>
        <v>10077</v>
      </c>
    </row>
    <row r="39" spans="2:8" x14ac:dyDescent="0.3">
      <c r="B39" t="s">
        <v>230</v>
      </c>
      <c r="C39" s="9">
        <v>44313</v>
      </c>
      <c r="D39" t="s">
        <v>20</v>
      </c>
      <c r="E39" t="s">
        <v>53</v>
      </c>
      <c r="F39">
        <v>60</v>
      </c>
      <c r="H39">
        <f t="shared" si="0"/>
        <v>10017</v>
      </c>
    </row>
    <row r="40" spans="2:8" x14ac:dyDescent="0.3">
      <c r="B40" t="s">
        <v>231</v>
      </c>
      <c r="C40" s="9">
        <v>44316</v>
      </c>
      <c r="D40" t="s">
        <v>13</v>
      </c>
      <c r="E40" t="s">
        <v>55</v>
      </c>
      <c r="F40">
        <v>280</v>
      </c>
      <c r="H40">
        <f t="shared" si="0"/>
        <v>9737</v>
      </c>
    </row>
    <row r="41" spans="2:8" x14ac:dyDescent="0.3">
      <c r="B41" t="s">
        <v>232</v>
      </c>
      <c r="C41" s="9">
        <v>44316</v>
      </c>
      <c r="D41" t="s">
        <v>32</v>
      </c>
      <c r="E41" t="s">
        <v>56</v>
      </c>
      <c r="F41">
        <v>273</v>
      </c>
      <c r="H41">
        <f t="shared" si="0"/>
        <v>9464</v>
      </c>
    </row>
    <row r="42" spans="2:8" x14ac:dyDescent="0.3">
      <c r="B42" t="s">
        <v>233</v>
      </c>
      <c r="C42" s="9">
        <v>44289</v>
      </c>
      <c r="D42" t="s">
        <v>9</v>
      </c>
      <c r="E42" t="s">
        <v>10</v>
      </c>
      <c r="G42">
        <v>5000</v>
      </c>
      <c r="H42">
        <f>H41+G42-F42</f>
        <v>14464</v>
      </c>
    </row>
    <row r="43" spans="2:8" x14ac:dyDescent="0.3">
      <c r="B43" t="s">
        <v>234</v>
      </c>
      <c r="C43" s="9">
        <v>44291</v>
      </c>
      <c r="D43" t="s">
        <v>11</v>
      </c>
      <c r="E43" t="s">
        <v>12</v>
      </c>
      <c r="F43">
        <v>236</v>
      </c>
      <c r="H43">
        <f t="shared" ref="H43:H60" si="3">H42+G43-F43</f>
        <v>14228</v>
      </c>
    </row>
    <row r="44" spans="2:8" x14ac:dyDescent="0.3">
      <c r="B44" s="11" t="s">
        <v>235</v>
      </c>
      <c r="C44" s="12">
        <v>44292</v>
      </c>
      <c r="D44" s="11" t="s">
        <v>17</v>
      </c>
      <c r="E44" s="11" t="s">
        <v>18</v>
      </c>
      <c r="F44" s="11">
        <v>15000</v>
      </c>
      <c r="G44" s="11"/>
      <c r="H44" s="11">
        <f t="shared" si="3"/>
        <v>-772</v>
      </c>
    </row>
    <row r="45" spans="2:8" x14ac:dyDescent="0.3">
      <c r="B45" t="s">
        <v>236</v>
      </c>
      <c r="C45" s="9">
        <v>44292</v>
      </c>
      <c r="D45" t="s">
        <v>58</v>
      </c>
      <c r="E45" t="s">
        <v>59</v>
      </c>
      <c r="F45">
        <v>4227</v>
      </c>
      <c r="H45">
        <f t="shared" si="3"/>
        <v>-4999</v>
      </c>
    </row>
    <row r="46" spans="2:8" x14ac:dyDescent="0.3">
      <c r="B46" t="s">
        <v>237</v>
      </c>
      <c r="C46" s="9">
        <v>44293</v>
      </c>
      <c r="D46" t="s">
        <v>60</v>
      </c>
      <c r="E46" t="s">
        <v>61</v>
      </c>
      <c r="F46">
        <v>6750</v>
      </c>
      <c r="H46">
        <f t="shared" si="3"/>
        <v>-11749</v>
      </c>
    </row>
    <row r="47" spans="2:8" x14ac:dyDescent="0.3">
      <c r="B47" t="s">
        <v>238</v>
      </c>
      <c r="C47" s="9">
        <v>44293</v>
      </c>
      <c r="D47" t="s">
        <v>60</v>
      </c>
      <c r="E47" t="s">
        <v>62</v>
      </c>
      <c r="F47">
        <v>5250</v>
      </c>
      <c r="H47">
        <f t="shared" si="3"/>
        <v>-16999</v>
      </c>
    </row>
    <row r="48" spans="2:8" x14ac:dyDescent="0.3">
      <c r="B48" t="s">
        <v>239</v>
      </c>
      <c r="C48" s="9">
        <v>44294</v>
      </c>
      <c r="D48" t="s">
        <v>11</v>
      </c>
      <c r="E48" t="s">
        <v>12</v>
      </c>
      <c r="F48">
        <v>118</v>
      </c>
      <c r="H48">
        <f t="shared" si="3"/>
        <v>-17117</v>
      </c>
    </row>
    <row r="49" spans="2:8" x14ac:dyDescent="0.3">
      <c r="B49" t="s">
        <v>240</v>
      </c>
      <c r="C49" s="9">
        <v>44301</v>
      </c>
      <c r="D49" t="s">
        <v>9</v>
      </c>
      <c r="E49" t="s">
        <v>64</v>
      </c>
      <c r="G49">
        <v>4000</v>
      </c>
      <c r="H49">
        <f t="shared" si="3"/>
        <v>-13117</v>
      </c>
    </row>
    <row r="50" spans="2:8" x14ac:dyDescent="0.3">
      <c r="B50" t="s">
        <v>241</v>
      </c>
      <c r="C50" s="9">
        <v>44301</v>
      </c>
      <c r="D50" t="s">
        <v>9</v>
      </c>
      <c r="E50" t="s">
        <v>65</v>
      </c>
      <c r="G50">
        <v>9000</v>
      </c>
      <c r="H50">
        <f t="shared" si="3"/>
        <v>-4117</v>
      </c>
    </row>
    <row r="51" spans="2:8" x14ac:dyDescent="0.3">
      <c r="B51" t="s">
        <v>242</v>
      </c>
      <c r="C51" s="9">
        <v>44302</v>
      </c>
      <c r="D51" t="s">
        <v>60</v>
      </c>
      <c r="E51" t="s">
        <v>67</v>
      </c>
      <c r="F51">
        <v>7500</v>
      </c>
      <c r="H51">
        <f t="shared" si="3"/>
        <v>-11617</v>
      </c>
    </row>
    <row r="52" spans="2:8" x14ac:dyDescent="0.3">
      <c r="B52" s="11" t="s">
        <v>243</v>
      </c>
      <c r="C52" s="12">
        <v>44302</v>
      </c>
      <c r="D52" s="11" t="s">
        <v>17</v>
      </c>
      <c r="E52" s="11" t="s">
        <v>18</v>
      </c>
      <c r="F52" s="11">
        <v>10000</v>
      </c>
      <c r="G52" s="11"/>
      <c r="H52" s="11">
        <f t="shared" si="3"/>
        <v>-21617</v>
      </c>
    </row>
    <row r="53" spans="2:8" x14ac:dyDescent="0.3">
      <c r="B53" t="s">
        <v>244</v>
      </c>
      <c r="C53" s="9">
        <v>44302</v>
      </c>
      <c r="D53" t="s">
        <v>69</v>
      </c>
      <c r="E53" t="s">
        <v>70</v>
      </c>
      <c r="F53">
        <v>17500</v>
      </c>
      <c r="H53">
        <f t="shared" si="3"/>
        <v>-39117</v>
      </c>
    </row>
    <row r="54" spans="2:8" x14ac:dyDescent="0.3">
      <c r="B54" t="s">
        <v>245</v>
      </c>
      <c r="C54" s="9">
        <v>44302</v>
      </c>
      <c r="D54" t="s">
        <v>60</v>
      </c>
      <c r="E54" t="s">
        <v>68</v>
      </c>
      <c r="F54">
        <v>13050</v>
      </c>
      <c r="H54">
        <f t="shared" si="3"/>
        <v>-52167</v>
      </c>
    </row>
    <row r="55" spans="2:8" x14ac:dyDescent="0.3">
      <c r="B55" t="s">
        <v>246</v>
      </c>
      <c r="C55" s="9">
        <v>44302</v>
      </c>
      <c r="D55" t="s">
        <v>60</v>
      </c>
      <c r="E55" t="s">
        <v>71</v>
      </c>
      <c r="F55">
        <v>9000</v>
      </c>
      <c r="H55">
        <f t="shared" si="3"/>
        <v>-61167</v>
      </c>
    </row>
    <row r="56" spans="2:8" x14ac:dyDescent="0.3">
      <c r="B56" t="s">
        <v>247</v>
      </c>
      <c r="C56" s="9">
        <v>44306</v>
      </c>
      <c r="D56" t="s">
        <v>9</v>
      </c>
      <c r="E56" t="s">
        <v>73</v>
      </c>
      <c r="G56">
        <v>10000</v>
      </c>
      <c r="H56">
        <f t="shared" si="3"/>
        <v>-51167</v>
      </c>
    </row>
    <row r="57" spans="2:8" x14ac:dyDescent="0.3">
      <c r="B57" t="s">
        <v>248</v>
      </c>
      <c r="C57" s="9">
        <v>44307</v>
      </c>
      <c r="D57" t="s">
        <v>58</v>
      </c>
      <c r="E57" t="s">
        <v>59</v>
      </c>
      <c r="F57">
        <v>4432</v>
      </c>
      <c r="H57">
        <f t="shared" si="3"/>
        <v>-55599</v>
      </c>
    </row>
    <row r="58" spans="2:8" x14ac:dyDescent="0.3">
      <c r="B58" t="s">
        <v>249</v>
      </c>
      <c r="C58" s="9">
        <v>44312</v>
      </c>
      <c r="D58" t="s">
        <v>9</v>
      </c>
      <c r="E58" t="s">
        <v>76</v>
      </c>
      <c r="G58">
        <v>1500</v>
      </c>
      <c r="H58">
        <f t="shared" si="3"/>
        <v>-54099</v>
      </c>
    </row>
    <row r="59" spans="2:8" x14ac:dyDescent="0.3">
      <c r="B59" t="s">
        <v>250</v>
      </c>
      <c r="C59" s="9">
        <v>44313</v>
      </c>
      <c r="D59" t="s">
        <v>9</v>
      </c>
      <c r="E59" t="s">
        <v>79</v>
      </c>
      <c r="G59">
        <v>5000</v>
      </c>
      <c r="H59">
        <f t="shared" si="3"/>
        <v>-49099</v>
      </c>
    </row>
    <row r="60" spans="2:8" x14ac:dyDescent="0.3">
      <c r="B60" t="s">
        <v>251</v>
      </c>
      <c r="C60" s="9">
        <v>44316</v>
      </c>
      <c r="D60" t="s">
        <v>9</v>
      </c>
      <c r="E60" t="s">
        <v>80</v>
      </c>
      <c r="G60">
        <v>2500</v>
      </c>
      <c r="H60">
        <f t="shared" si="3"/>
        <v>-46599</v>
      </c>
    </row>
    <row r="61" spans="2:8" x14ac:dyDescent="0.3">
      <c r="B61" t="s">
        <v>252</v>
      </c>
      <c r="C61" s="9">
        <v>44287</v>
      </c>
      <c r="D61" t="s">
        <v>9</v>
      </c>
      <c r="E61" t="s">
        <v>77</v>
      </c>
      <c r="G61">
        <v>25000</v>
      </c>
      <c r="H61">
        <f>H60+G61-F61</f>
        <v>-21599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7">
    <tabColor rgb="FF7030A0"/>
  </sheetPr>
  <dimension ref="A1:AZ210"/>
  <sheetViews>
    <sheetView topLeftCell="A24" zoomScale="82" zoomScaleNormal="82" workbookViewId="0">
      <selection activeCell="AB45" sqref="AB45"/>
    </sheetView>
  </sheetViews>
  <sheetFormatPr defaultRowHeight="14.4" x14ac:dyDescent="0.3"/>
  <sheetData>
    <row r="1" spans="1:52" x14ac:dyDescent="0.3">
      <c r="A1" s="13"/>
      <c r="B1" s="24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52" x14ac:dyDescent="0.3">
      <c r="A2" s="13"/>
      <c r="B2" s="24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4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2" x14ac:dyDescent="0.3">
      <c r="A3" s="13"/>
      <c r="B3" s="24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4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</row>
    <row r="4" spans="1:52" x14ac:dyDescent="0.3">
      <c r="A4" s="1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4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</row>
    <row r="5" spans="1:52" x14ac:dyDescent="0.3">
      <c r="A5" s="1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4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</row>
    <row r="6" spans="1:52" x14ac:dyDescent="0.3">
      <c r="A6" s="1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4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x14ac:dyDescent="0.3">
      <c r="A7" s="13"/>
      <c r="B7" s="2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4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x14ac:dyDescent="0.3">
      <c r="A8" s="13"/>
      <c r="B8" s="24"/>
      <c r="C8" s="25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5"/>
      <c r="U8" s="24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x14ac:dyDescent="0.3">
      <c r="A9" s="13"/>
      <c r="B9" s="24"/>
      <c r="C9" s="25"/>
      <c r="D9" s="22"/>
      <c r="E9" s="22"/>
      <c r="F9" s="22"/>
      <c r="G9" s="22"/>
      <c r="J9" s="27"/>
      <c r="K9" s="27"/>
      <c r="L9" s="27"/>
      <c r="M9" s="22"/>
      <c r="N9" s="22"/>
      <c r="O9" s="22"/>
      <c r="P9" s="22"/>
      <c r="S9" s="27"/>
      <c r="T9" s="25"/>
      <c r="U9" s="24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x14ac:dyDescent="0.3">
      <c r="A10" s="13"/>
      <c r="B10" s="24"/>
      <c r="C10" s="25"/>
      <c r="D10" s="22"/>
      <c r="E10" s="22"/>
      <c r="F10" s="22"/>
      <c r="G10" s="22"/>
      <c r="J10" s="27"/>
      <c r="K10" s="27"/>
      <c r="L10" s="27"/>
      <c r="M10" s="22"/>
      <c r="N10" s="22"/>
      <c r="O10" s="22"/>
      <c r="P10" s="22"/>
      <c r="S10" s="27"/>
      <c r="T10" s="25"/>
      <c r="U10" s="24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x14ac:dyDescent="0.3">
      <c r="A11" s="13"/>
      <c r="B11" s="24"/>
      <c r="C11" s="25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5"/>
      <c r="U11" s="24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x14ac:dyDescent="0.3">
      <c r="A12" s="13"/>
      <c r="B12" s="24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4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x14ac:dyDescent="0.3">
      <c r="A13" s="13"/>
      <c r="B13" s="24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4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x14ac:dyDescent="0.3">
      <c r="A14" s="13"/>
      <c r="B14" s="24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4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x14ac:dyDescent="0.3">
      <c r="A15" s="13"/>
      <c r="B15" s="24"/>
      <c r="C15" s="25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5"/>
      <c r="U15" s="24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x14ac:dyDescent="0.3">
      <c r="A16" s="13"/>
      <c r="B16" s="24"/>
      <c r="C16" s="25"/>
      <c r="D16" s="22"/>
      <c r="E16" s="22"/>
      <c r="F16" s="22"/>
      <c r="G16" s="22"/>
      <c r="J16" s="27"/>
      <c r="K16" s="27"/>
      <c r="L16" s="27"/>
      <c r="M16" s="22"/>
      <c r="N16" s="22"/>
      <c r="O16" s="22"/>
      <c r="P16" s="22"/>
      <c r="S16" s="27"/>
      <c r="T16" s="25"/>
      <c r="U16" s="24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x14ac:dyDescent="0.3">
      <c r="A17" s="13"/>
      <c r="B17" s="24"/>
      <c r="C17" s="25"/>
      <c r="D17" s="22"/>
      <c r="E17" s="22"/>
      <c r="F17" s="22"/>
      <c r="G17" s="22"/>
      <c r="J17" s="27"/>
      <c r="K17" s="27"/>
      <c r="L17" s="27"/>
      <c r="M17" s="22"/>
      <c r="N17" s="22"/>
      <c r="O17" s="22"/>
      <c r="P17" s="22"/>
      <c r="S17" s="27"/>
      <c r="T17" s="25"/>
      <c r="U17" s="24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x14ac:dyDescent="0.3">
      <c r="A18" s="13"/>
      <c r="B18" s="24"/>
      <c r="C18" s="25"/>
      <c r="D18" s="22"/>
      <c r="E18" s="22"/>
      <c r="F18" s="22"/>
      <c r="G18" s="22"/>
      <c r="J18" s="27"/>
      <c r="K18" s="27"/>
      <c r="L18" s="27"/>
      <c r="M18" s="22"/>
      <c r="N18" s="22"/>
      <c r="O18" s="22"/>
      <c r="P18" s="22"/>
      <c r="S18" s="27"/>
      <c r="T18" s="25"/>
      <c r="U18" s="24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x14ac:dyDescent="0.3">
      <c r="A19" s="13"/>
      <c r="B19" s="24"/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5"/>
      <c r="U19" s="24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x14ac:dyDescent="0.3">
      <c r="A20" s="13"/>
      <c r="B20" s="24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4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x14ac:dyDescent="0.3">
      <c r="A21" s="13"/>
      <c r="B21" s="24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4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x14ac:dyDescent="0.3">
      <c r="A22" s="13"/>
      <c r="B22" s="24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4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x14ac:dyDescent="0.3">
      <c r="A23" s="13"/>
      <c r="B23" s="24"/>
      <c r="C23" s="25"/>
      <c r="D23" s="26"/>
      <c r="E23" s="26"/>
      <c r="F23" s="26"/>
      <c r="G23" s="26"/>
      <c r="H23" s="26"/>
      <c r="I23" s="26"/>
      <c r="J23" s="26"/>
      <c r="K23" s="26"/>
      <c r="L23" s="25"/>
      <c r="M23" s="25"/>
      <c r="N23" s="25"/>
      <c r="O23" s="25"/>
      <c r="P23" s="25"/>
      <c r="Q23" s="25"/>
      <c r="R23" s="25"/>
      <c r="S23" s="25"/>
      <c r="T23" s="25"/>
      <c r="U23" s="24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x14ac:dyDescent="0.3">
      <c r="A24" s="13"/>
      <c r="B24" s="24"/>
      <c r="C24" s="25"/>
      <c r="D24" s="22"/>
      <c r="E24" s="22"/>
      <c r="F24" s="22"/>
      <c r="G24" s="22"/>
      <c r="J24" s="27"/>
      <c r="K24" s="26"/>
      <c r="L24" s="25"/>
      <c r="M24" s="25"/>
      <c r="N24" s="25"/>
      <c r="O24" s="25"/>
      <c r="P24" s="25"/>
      <c r="Q24" s="25"/>
      <c r="R24" s="25"/>
      <c r="S24" s="25"/>
      <c r="T24" s="25"/>
      <c r="U24" s="24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x14ac:dyDescent="0.3">
      <c r="A25" s="13"/>
      <c r="B25" s="24"/>
      <c r="C25" s="25"/>
      <c r="D25" s="22"/>
      <c r="E25" s="22"/>
      <c r="F25" s="22"/>
      <c r="G25" s="22"/>
      <c r="J25" s="27"/>
      <c r="K25" s="26"/>
      <c r="L25" s="25"/>
      <c r="M25" s="25"/>
      <c r="N25" s="25"/>
      <c r="O25" s="25"/>
      <c r="P25" s="25"/>
      <c r="Q25" s="25"/>
      <c r="R25" s="25"/>
      <c r="S25" s="25"/>
      <c r="T25" s="25"/>
      <c r="U25" s="24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x14ac:dyDescent="0.3">
      <c r="A26" s="13"/>
      <c r="B26" s="24"/>
      <c r="C26" s="25"/>
      <c r="D26" s="22"/>
      <c r="E26" s="22"/>
      <c r="F26" s="22"/>
      <c r="G26" s="22"/>
      <c r="J26" s="27"/>
      <c r="K26" s="26"/>
      <c r="L26" s="25"/>
      <c r="M26" s="25"/>
      <c r="N26" s="25"/>
      <c r="O26" s="25"/>
      <c r="P26" s="25"/>
      <c r="Q26" s="25"/>
      <c r="R26" s="25"/>
      <c r="S26" s="25"/>
      <c r="T26" s="25"/>
      <c r="U26" s="24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x14ac:dyDescent="0.3">
      <c r="A27" s="13"/>
      <c r="B27" s="24"/>
      <c r="C27" s="25"/>
      <c r="D27" s="26"/>
      <c r="E27" s="26"/>
      <c r="F27" s="26"/>
      <c r="G27" s="26"/>
      <c r="H27" s="26"/>
      <c r="I27" s="26"/>
      <c r="J27" s="26"/>
      <c r="K27" s="26"/>
      <c r="L27" s="25"/>
      <c r="M27" s="25"/>
      <c r="N27" s="25"/>
      <c r="O27" s="25"/>
      <c r="P27" s="25"/>
      <c r="Q27" s="25"/>
      <c r="R27" s="25"/>
      <c r="S27" s="25"/>
      <c r="T27" s="25"/>
      <c r="U27" s="24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8" spans="1:52" x14ac:dyDescent="0.3">
      <c r="A28" s="13"/>
      <c r="B28" s="24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4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</row>
    <row r="29" spans="1:52" x14ac:dyDescent="0.3">
      <c r="A29" s="13"/>
      <c r="B29" s="24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4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x14ac:dyDescent="0.3">
      <c r="A30" s="13"/>
      <c r="B30" s="24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4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x14ac:dyDescent="0.3">
      <c r="A31" s="13"/>
      <c r="B31" s="24"/>
      <c r="C31" s="25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5"/>
      <c r="U31" s="24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x14ac:dyDescent="0.3">
      <c r="A32" s="13"/>
      <c r="B32" s="24"/>
      <c r="C32" s="25"/>
      <c r="D32" s="22"/>
      <c r="E32" s="22"/>
      <c r="F32" s="22"/>
      <c r="G32" s="22"/>
      <c r="J32" s="27"/>
      <c r="K32" s="27"/>
      <c r="L32" s="27"/>
      <c r="M32" s="22"/>
      <c r="N32" s="22"/>
      <c r="O32" s="22"/>
      <c r="P32" s="22"/>
      <c r="S32" s="27"/>
      <c r="T32" s="25"/>
      <c r="U32" s="24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x14ac:dyDescent="0.3">
      <c r="A33" s="13"/>
      <c r="B33" s="24"/>
      <c r="C33" s="25"/>
      <c r="D33" s="22"/>
      <c r="E33" s="22"/>
      <c r="F33" s="22"/>
      <c r="G33" s="22"/>
      <c r="J33" s="27"/>
      <c r="K33" s="27"/>
      <c r="L33" s="27"/>
      <c r="M33" s="22"/>
      <c r="N33" s="22"/>
      <c r="O33" s="22"/>
      <c r="P33" s="22"/>
      <c r="S33" s="27"/>
      <c r="T33" s="25"/>
      <c r="U33" s="24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x14ac:dyDescent="0.3">
      <c r="A34" s="13"/>
      <c r="B34" s="24"/>
      <c r="C34" s="25"/>
      <c r="D34" s="22"/>
      <c r="E34" s="22"/>
      <c r="F34" s="22"/>
      <c r="G34" s="22"/>
      <c r="J34" s="27"/>
      <c r="K34" s="27"/>
      <c r="L34" s="27"/>
      <c r="M34" s="22"/>
      <c r="N34" s="22"/>
      <c r="O34" s="22"/>
      <c r="P34" s="22"/>
      <c r="S34" s="27"/>
      <c r="T34" s="25"/>
      <c r="U34" s="24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x14ac:dyDescent="0.3">
      <c r="A35" s="13"/>
      <c r="B35" s="24"/>
      <c r="C35" s="25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5"/>
      <c r="U35" s="24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x14ac:dyDescent="0.3">
      <c r="A36" s="13"/>
      <c r="B36" s="24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4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x14ac:dyDescent="0.3">
      <c r="A37" s="13"/>
      <c r="B37" s="24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4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x14ac:dyDescent="0.3">
      <c r="A38" s="13"/>
      <c r="B38" s="24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4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x14ac:dyDescent="0.3">
      <c r="A39" s="13"/>
      <c r="B39" s="24"/>
      <c r="C39" s="25"/>
      <c r="D39" s="25"/>
      <c r="E39" s="25"/>
      <c r="F39" s="25"/>
      <c r="G39" s="25"/>
      <c r="H39" s="25"/>
      <c r="I39" s="23"/>
      <c r="J39" s="23"/>
      <c r="K39" s="23"/>
      <c r="L39" s="23"/>
      <c r="M39" s="23"/>
      <c r="N39" s="23"/>
      <c r="O39" s="25"/>
      <c r="P39" s="25"/>
      <c r="Q39" s="25"/>
      <c r="R39" s="25"/>
      <c r="S39" s="25"/>
      <c r="T39" s="25"/>
      <c r="U39" s="24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x14ac:dyDescent="0.3">
      <c r="A40" s="13"/>
      <c r="B40" s="24"/>
      <c r="C40" s="25"/>
      <c r="D40" s="25"/>
      <c r="E40" s="25"/>
      <c r="F40" s="25"/>
      <c r="G40" s="25"/>
      <c r="H40" s="25"/>
      <c r="I40" s="42"/>
      <c r="J40" s="42"/>
      <c r="K40" s="42"/>
      <c r="L40" s="42"/>
      <c r="M40" s="23"/>
      <c r="N40" s="23"/>
      <c r="O40" s="25"/>
      <c r="P40" s="25"/>
      <c r="Q40" s="25"/>
      <c r="R40" s="25"/>
      <c r="S40" s="25"/>
      <c r="T40" s="25"/>
      <c r="U40" s="24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x14ac:dyDescent="0.3">
      <c r="A41" s="13"/>
      <c r="B41" s="24"/>
      <c r="C41" s="25"/>
      <c r="D41" s="25"/>
      <c r="E41" s="25"/>
      <c r="F41" s="25"/>
      <c r="G41" s="25"/>
      <c r="H41" s="25"/>
      <c r="I41" s="42"/>
      <c r="J41" s="42"/>
      <c r="K41" s="42"/>
      <c r="L41" s="42"/>
      <c r="M41" s="23"/>
      <c r="N41" s="23"/>
      <c r="O41" s="25"/>
      <c r="P41" s="25"/>
      <c r="Q41" s="25"/>
      <c r="R41" s="25"/>
      <c r="S41" s="25"/>
      <c r="T41" s="25"/>
      <c r="U41" s="24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x14ac:dyDescent="0.3">
      <c r="A42" s="13"/>
      <c r="B42" s="24"/>
      <c r="C42" s="25"/>
      <c r="D42" s="25"/>
      <c r="E42" s="25"/>
      <c r="F42" s="25"/>
      <c r="G42" s="25"/>
      <c r="H42" s="25"/>
      <c r="I42" s="42"/>
      <c r="J42" s="42"/>
      <c r="K42" s="42"/>
      <c r="L42" s="42"/>
      <c r="M42" s="23"/>
      <c r="N42" s="23"/>
      <c r="O42" s="25"/>
      <c r="P42" s="25"/>
      <c r="Q42" s="25"/>
      <c r="R42" s="25"/>
      <c r="S42" s="25"/>
      <c r="T42" s="25"/>
      <c r="U42" s="24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x14ac:dyDescent="0.3">
      <c r="A43" s="13"/>
      <c r="B43" s="24"/>
      <c r="C43" s="25"/>
      <c r="D43" s="25"/>
      <c r="E43" s="25"/>
      <c r="F43" s="25"/>
      <c r="G43" s="25"/>
      <c r="H43" s="25"/>
      <c r="I43" s="23"/>
      <c r="J43" s="23"/>
      <c r="K43" s="23"/>
      <c r="L43" s="23"/>
      <c r="M43" s="23"/>
      <c r="N43" s="23"/>
      <c r="O43" s="25"/>
      <c r="P43" s="25"/>
      <c r="Q43" s="25"/>
      <c r="R43" s="25"/>
      <c r="S43" s="25"/>
      <c r="T43" s="25"/>
      <c r="U43" s="24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x14ac:dyDescent="0.3">
      <c r="A44" s="13"/>
      <c r="B44" s="24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4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x14ac:dyDescent="0.3">
      <c r="A45" s="13"/>
      <c r="B45" s="24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4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x14ac:dyDescent="0.3">
      <c r="A46" s="13"/>
      <c r="B46" s="24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4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x14ac:dyDescent="0.3">
      <c r="A47" s="13"/>
      <c r="B47" s="24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4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x14ac:dyDescent="0.3">
      <c r="A48" s="13"/>
      <c r="B48" s="24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4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x14ac:dyDescent="0.3">
      <c r="A49" s="13"/>
      <c r="B49" s="24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4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x14ac:dyDescent="0.3">
      <c r="A50" s="13"/>
      <c r="B50" s="24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4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x14ac:dyDescent="0.3">
      <c r="A51" s="13"/>
      <c r="B51" s="24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4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x14ac:dyDescent="0.3">
      <c r="A52" s="13"/>
      <c r="B52" s="24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4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x14ac:dyDescent="0.3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x14ac:dyDescent="0.3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x14ac:dyDescent="0.3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x14ac:dyDescent="0.3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x14ac:dyDescent="0.3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x14ac:dyDescent="0.3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x14ac:dyDescent="0.3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x14ac:dyDescent="0.3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x14ac:dyDescent="0.3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x14ac:dyDescent="0.3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x14ac:dyDescent="0.3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x14ac:dyDescent="0.3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x14ac:dyDescent="0.3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x14ac:dyDescent="0.3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x14ac:dyDescent="0.3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x14ac:dyDescent="0.3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x14ac:dyDescent="0.3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x14ac:dyDescent="0.3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x14ac:dyDescent="0.3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x14ac:dyDescent="0.3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x14ac:dyDescent="0.3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x14ac:dyDescent="0.3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x14ac:dyDescent="0.3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x14ac:dyDescent="0.3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x14ac:dyDescent="0.3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x14ac:dyDescent="0.3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x14ac:dyDescent="0.3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2" x14ac:dyDescent="0.3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2" x14ac:dyDescent="0.3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2" x14ac:dyDescent="0.3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2" x14ac:dyDescent="0.3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2" x14ac:dyDescent="0.3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2" x14ac:dyDescent="0.3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2" x14ac:dyDescent="0.3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2" x14ac:dyDescent="0.3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2" x14ac:dyDescent="0.3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2" x14ac:dyDescent="0.3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2" x14ac:dyDescent="0.3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</row>
    <row r="92" spans="1:52" x14ac:dyDescent="0.3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</row>
    <row r="93" spans="1:52" x14ac:dyDescent="0.3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</row>
    <row r="94" spans="1:52" x14ac:dyDescent="0.3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</row>
    <row r="95" spans="1:52" x14ac:dyDescent="0.3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</row>
    <row r="96" spans="1:52" x14ac:dyDescent="0.3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</row>
    <row r="97" spans="1:52" x14ac:dyDescent="0.3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</row>
    <row r="98" spans="1:52" x14ac:dyDescent="0.3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</row>
    <row r="99" spans="1:52" x14ac:dyDescent="0.3"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</row>
    <row r="100" spans="1:52" x14ac:dyDescent="0.3"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</row>
    <row r="101" spans="1:52" x14ac:dyDescent="0.3"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</row>
    <row r="102" spans="1:52" x14ac:dyDescent="0.3"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</row>
    <row r="103" spans="1:52" x14ac:dyDescent="0.3"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</row>
    <row r="104" spans="1:52" x14ac:dyDescent="0.3"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</row>
    <row r="105" spans="1:52" x14ac:dyDescent="0.3"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</row>
    <row r="106" spans="1:52" x14ac:dyDescent="0.3"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</row>
    <row r="107" spans="1:52" x14ac:dyDescent="0.3"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</row>
    <row r="108" spans="1:52" x14ac:dyDescent="0.3"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</row>
    <row r="109" spans="1:52" x14ac:dyDescent="0.3"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</row>
    <row r="110" spans="1:52" x14ac:dyDescent="0.3"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</row>
    <row r="111" spans="1:52" x14ac:dyDescent="0.3"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</row>
    <row r="112" spans="1:52" x14ac:dyDescent="0.3"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</row>
    <row r="113" spans="2:52" x14ac:dyDescent="0.3"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</row>
    <row r="114" spans="2:52" x14ac:dyDescent="0.3"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</row>
    <row r="115" spans="2:52" x14ac:dyDescent="0.3"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</row>
    <row r="116" spans="2:52" x14ac:dyDescent="0.3"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</row>
    <row r="117" spans="2:52" x14ac:dyDescent="0.3"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</row>
    <row r="118" spans="2:52" x14ac:dyDescent="0.3"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</row>
    <row r="119" spans="2:52" x14ac:dyDescent="0.3"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</row>
    <row r="120" spans="2:52" x14ac:dyDescent="0.3"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</row>
    <row r="121" spans="2:52" x14ac:dyDescent="0.3"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</row>
    <row r="122" spans="2:52" x14ac:dyDescent="0.3"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</row>
    <row r="123" spans="2:52" x14ac:dyDescent="0.3"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</row>
    <row r="124" spans="2:52" x14ac:dyDescent="0.3"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</row>
    <row r="125" spans="2:52" x14ac:dyDescent="0.3"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</row>
    <row r="126" spans="2:52" x14ac:dyDescent="0.3"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</row>
    <row r="127" spans="2:52" x14ac:dyDescent="0.3"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</row>
    <row r="128" spans="2:52" x14ac:dyDescent="0.3"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</row>
    <row r="129" spans="2:52" x14ac:dyDescent="0.3"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</row>
    <row r="130" spans="2:52" x14ac:dyDescent="0.3"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</row>
    <row r="131" spans="2:52" x14ac:dyDescent="0.3"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</row>
    <row r="132" spans="2:52" x14ac:dyDescent="0.3"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</row>
    <row r="133" spans="2:52" x14ac:dyDescent="0.3"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</row>
    <row r="134" spans="2:52" x14ac:dyDescent="0.3"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</row>
    <row r="135" spans="2:52" x14ac:dyDescent="0.3"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</row>
    <row r="136" spans="2:52" x14ac:dyDescent="0.3"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</row>
    <row r="137" spans="2:52" x14ac:dyDescent="0.3"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</row>
    <row r="138" spans="2:52" x14ac:dyDescent="0.3"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</row>
    <row r="139" spans="2:52" x14ac:dyDescent="0.3"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</row>
    <row r="140" spans="2:52" x14ac:dyDescent="0.3"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</row>
    <row r="141" spans="2:52" x14ac:dyDescent="0.3"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</row>
    <row r="142" spans="2:52" x14ac:dyDescent="0.3"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</row>
    <row r="143" spans="2:52" x14ac:dyDescent="0.3"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</row>
    <row r="144" spans="2:52" x14ac:dyDescent="0.3"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</row>
    <row r="145" spans="2:52" x14ac:dyDescent="0.3"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</row>
    <row r="146" spans="2:52" x14ac:dyDescent="0.3"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</row>
    <row r="147" spans="2:52" x14ac:dyDescent="0.3"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</row>
    <row r="148" spans="2:52" x14ac:dyDescent="0.3"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</row>
    <row r="149" spans="2:52" x14ac:dyDescent="0.3"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</row>
    <row r="150" spans="2:52" x14ac:dyDescent="0.3"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</row>
    <row r="151" spans="2:52" x14ac:dyDescent="0.3"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</row>
    <row r="152" spans="2:52" x14ac:dyDescent="0.3"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</row>
    <row r="153" spans="2:52" x14ac:dyDescent="0.3"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</row>
    <row r="154" spans="2:52" x14ac:dyDescent="0.3"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</row>
    <row r="155" spans="2:52" x14ac:dyDescent="0.3"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</row>
    <row r="156" spans="2:52" x14ac:dyDescent="0.3"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</row>
    <row r="157" spans="2:52" x14ac:dyDescent="0.3"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</row>
    <row r="158" spans="2:52" x14ac:dyDescent="0.3"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</row>
    <row r="159" spans="2:52" x14ac:dyDescent="0.3"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</row>
    <row r="160" spans="2:52" x14ac:dyDescent="0.3"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</row>
    <row r="161" spans="2:52" x14ac:dyDescent="0.3"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</row>
    <row r="162" spans="2:52" x14ac:dyDescent="0.3"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</row>
    <row r="163" spans="2:52" x14ac:dyDescent="0.3"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</row>
    <row r="164" spans="2:52" x14ac:dyDescent="0.3"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</row>
    <row r="165" spans="2:52" x14ac:dyDescent="0.3"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</row>
    <row r="166" spans="2:52" x14ac:dyDescent="0.3"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</row>
    <row r="167" spans="2:52" x14ac:dyDescent="0.3"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</row>
    <row r="168" spans="2:52" x14ac:dyDescent="0.3"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</row>
    <row r="169" spans="2:52" x14ac:dyDescent="0.3"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</row>
    <row r="170" spans="2:52" x14ac:dyDescent="0.3"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</row>
    <row r="171" spans="2:52" x14ac:dyDescent="0.3"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</row>
    <row r="172" spans="2:52" x14ac:dyDescent="0.3"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</row>
    <row r="173" spans="2:52" x14ac:dyDescent="0.3"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</row>
    <row r="174" spans="2:52" x14ac:dyDescent="0.3"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</row>
    <row r="175" spans="2:52" x14ac:dyDescent="0.3"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</row>
    <row r="176" spans="2:52" x14ac:dyDescent="0.3"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</row>
    <row r="177" spans="2:52" x14ac:dyDescent="0.3"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</row>
    <row r="178" spans="2:52" x14ac:dyDescent="0.3"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</row>
    <row r="179" spans="2:52" x14ac:dyDescent="0.3"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</row>
    <row r="180" spans="2:52" x14ac:dyDescent="0.3"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</row>
    <row r="181" spans="2:52" x14ac:dyDescent="0.3"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</row>
    <row r="182" spans="2:52" x14ac:dyDescent="0.3"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</row>
    <row r="183" spans="2:52" x14ac:dyDescent="0.3"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</row>
    <row r="184" spans="2:52" x14ac:dyDescent="0.3"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</row>
    <row r="185" spans="2:52" x14ac:dyDescent="0.3"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</row>
    <row r="186" spans="2:52" x14ac:dyDescent="0.3"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</row>
    <row r="187" spans="2:52" x14ac:dyDescent="0.3"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</row>
    <row r="188" spans="2:52" x14ac:dyDescent="0.3"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</row>
    <row r="189" spans="2:52" x14ac:dyDescent="0.3"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</row>
    <row r="190" spans="2:52" x14ac:dyDescent="0.3"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</row>
    <row r="191" spans="2:52" x14ac:dyDescent="0.3"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</row>
    <row r="192" spans="2:52" x14ac:dyDescent="0.3"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</row>
    <row r="193" spans="2:52" x14ac:dyDescent="0.3"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</row>
    <row r="194" spans="2:52" x14ac:dyDescent="0.3"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</row>
    <row r="195" spans="2:52" x14ac:dyDescent="0.3"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</row>
    <row r="196" spans="2:52" x14ac:dyDescent="0.3"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</row>
    <row r="197" spans="2:52" x14ac:dyDescent="0.3"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</row>
    <row r="198" spans="2:52" x14ac:dyDescent="0.3"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</row>
    <row r="199" spans="2:52" x14ac:dyDescent="0.3"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</row>
    <row r="200" spans="2:52" x14ac:dyDescent="0.3"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</row>
    <row r="201" spans="2:52" x14ac:dyDescent="0.3"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</row>
    <row r="202" spans="2:52" x14ac:dyDescent="0.3"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</row>
    <row r="203" spans="2:52" x14ac:dyDescent="0.3"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</row>
    <row r="204" spans="2:52" x14ac:dyDescent="0.3"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</row>
    <row r="205" spans="2:52" x14ac:dyDescent="0.3"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</row>
    <row r="206" spans="2:52" x14ac:dyDescent="0.3"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</row>
    <row r="207" spans="2:52" x14ac:dyDescent="0.3"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</row>
    <row r="208" spans="2:52" x14ac:dyDescent="0.3"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</row>
    <row r="209" spans="2:52" x14ac:dyDescent="0.3"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</row>
    <row r="210" spans="2:52" x14ac:dyDescent="0.3"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sbCopyRangeToAnotherSheet">
                <anchor moveWithCells="1" sizeWithCells="1">
                  <from>
                    <xdr:col>7</xdr:col>
                    <xdr:colOff>7620</xdr:colOff>
                    <xdr:row>7</xdr:row>
                    <xdr:rowOff>167640</xdr:rowOff>
                  </from>
                  <to>
                    <xdr:col>8</xdr:col>
                    <xdr:colOff>601980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donation">
                <anchor moveWithCells="1">
                  <from>
                    <xdr:col>15</xdr:col>
                    <xdr:colOff>601980</xdr:colOff>
                    <xdr:row>7</xdr:row>
                    <xdr:rowOff>167640</xdr:rowOff>
                  </from>
                  <to>
                    <xdr:col>18</xdr:col>
                    <xdr:colOff>15240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orp">
                <anchor moveWithCells="1">
                  <from>
                    <xdr:col>6</xdr:col>
                    <xdr:colOff>579120</xdr:colOff>
                    <xdr:row>14</xdr:row>
                    <xdr:rowOff>167640</xdr:rowOff>
                  </from>
                  <to>
                    <xdr:col>9</xdr:col>
                    <xdr:colOff>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icici">
                <anchor moveWithCells="1">
                  <from>
                    <xdr:col>16</xdr:col>
                    <xdr:colOff>7620</xdr:colOff>
                    <xdr:row>14</xdr:row>
                    <xdr:rowOff>175260</xdr:rowOff>
                  </from>
                  <to>
                    <xdr:col>18</xdr:col>
                    <xdr:colOff>38100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consol">
                <anchor moveWithCells="1">
                  <from>
                    <xdr:col>6</xdr:col>
                    <xdr:colOff>579120</xdr:colOff>
                    <xdr:row>22</xdr:row>
                    <xdr:rowOff>167640</xdr:rowOff>
                  </from>
                  <to>
                    <xdr:col>9</xdr:col>
                    <xdr:colOff>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RP">
                <anchor moveWithCells="1">
                  <from>
                    <xdr:col>6</xdr:col>
                    <xdr:colOff>579120</xdr:colOff>
                    <xdr:row>30</xdr:row>
                    <xdr:rowOff>167640</xdr:rowOff>
                  </from>
                  <to>
                    <xdr:col>9</xdr:col>
                    <xdr:colOff>0</xdr:colOff>
                    <xdr:row>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PL">
                <anchor moveWithCells="1">
                  <from>
                    <xdr:col>16</xdr:col>
                    <xdr:colOff>7620</xdr:colOff>
                    <xdr:row>30</xdr:row>
                    <xdr:rowOff>175260</xdr:rowOff>
                  </from>
                  <to>
                    <xdr:col>18</xdr:col>
                    <xdr:colOff>38100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BS">
                <anchor moveWithCells="1">
                  <from>
                    <xdr:col>11</xdr:col>
                    <xdr:colOff>579120</xdr:colOff>
                    <xdr:row>38</xdr:row>
                    <xdr:rowOff>167640</xdr:rowOff>
                  </from>
                  <to>
                    <xdr:col>14</xdr:col>
                    <xdr:colOff>0</xdr:colOff>
                    <xdr:row>42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>
    <tabColor rgb="FFC00000"/>
  </sheetPr>
  <dimension ref="B1:G26"/>
  <sheetViews>
    <sheetView workbookViewId="0">
      <selection activeCell="E20" sqref="E20"/>
    </sheetView>
  </sheetViews>
  <sheetFormatPr defaultRowHeight="14.4" x14ac:dyDescent="0.3"/>
  <cols>
    <col min="2" max="2" width="21.77734375" bestFit="1" customWidth="1"/>
    <col min="3" max="3" width="9" bestFit="1" customWidth="1"/>
    <col min="4" max="4" width="26.21875" bestFit="1" customWidth="1"/>
    <col min="5" max="26" width="26.21875" customWidth="1"/>
    <col min="27" max="27" width="14.44140625" customWidth="1"/>
    <col min="28" max="28" width="28" bestFit="1" customWidth="1"/>
    <col min="29" max="29" width="7" bestFit="1" customWidth="1"/>
    <col min="30" max="30" width="9" bestFit="1" customWidth="1"/>
  </cols>
  <sheetData>
    <row r="1" spans="2:7" ht="15.6" thickTop="1" thickBot="1" x14ac:dyDescent="0.35">
      <c r="C1" s="43" t="s">
        <v>359</v>
      </c>
      <c r="D1" s="43"/>
      <c r="E1" s="43"/>
      <c r="F1" s="34"/>
    </row>
    <row r="2" spans="2:7" ht="15.6" thickTop="1" thickBot="1" x14ac:dyDescent="0.35">
      <c r="C2" s="43" t="s">
        <v>360</v>
      </c>
      <c r="D2" s="43"/>
      <c r="E2" s="43"/>
      <c r="F2" s="34"/>
    </row>
    <row r="3" spans="2:7" ht="15.6" thickTop="1" thickBot="1" x14ac:dyDescent="0.35">
      <c r="C3" s="43" t="s">
        <v>365</v>
      </c>
      <c r="D3" s="43"/>
      <c r="E3" s="43"/>
      <c r="F3" s="34"/>
    </row>
    <row r="4" spans="2:7" ht="15" thickTop="1" x14ac:dyDescent="0.3">
      <c r="B4" s="37" t="s">
        <v>361</v>
      </c>
      <c r="C4" s="37"/>
      <c r="D4" s="37" t="s">
        <v>362</v>
      </c>
      <c r="E4" s="37" t="s">
        <v>363</v>
      </c>
      <c r="F4" s="37"/>
      <c r="G4" s="37" t="s">
        <v>362</v>
      </c>
    </row>
    <row r="5" spans="2:7" x14ac:dyDescent="0.3">
      <c r="B5" s="25" t="s">
        <v>364</v>
      </c>
      <c r="C5" s="23"/>
      <c r="E5" s="38" t="s">
        <v>86</v>
      </c>
      <c r="F5" s="41"/>
      <c r="G5" s="40">
        <v>2360</v>
      </c>
    </row>
    <row r="6" spans="2:7" x14ac:dyDescent="0.3">
      <c r="B6" s="25" t="s">
        <v>366</v>
      </c>
      <c r="C6" s="23">
        <v>2514</v>
      </c>
      <c r="E6" s="38" t="s">
        <v>11</v>
      </c>
      <c r="F6" s="41"/>
      <c r="G6" s="40">
        <v>380.54999999999995</v>
      </c>
    </row>
    <row r="7" spans="2:7" x14ac:dyDescent="0.3">
      <c r="B7" s="25" t="s">
        <v>367</v>
      </c>
      <c r="C7" s="23">
        <v>166078.70000000001</v>
      </c>
      <c r="E7" s="38" t="s">
        <v>129</v>
      </c>
      <c r="F7" s="41"/>
      <c r="G7" s="40">
        <v>6822</v>
      </c>
    </row>
    <row r="8" spans="2:7" x14ac:dyDescent="0.3">
      <c r="B8" s="25" t="s">
        <v>368</v>
      </c>
      <c r="C8" s="23">
        <v>29791.5</v>
      </c>
      <c r="D8" s="30">
        <f>C6+C7+C8</f>
        <v>198384.2</v>
      </c>
      <c r="E8" s="38" t="s">
        <v>15</v>
      </c>
      <c r="F8" s="41"/>
      <c r="G8" s="40">
        <v>6811</v>
      </c>
    </row>
    <row r="9" spans="2:7" x14ac:dyDescent="0.3">
      <c r="B9" s="25"/>
      <c r="C9" s="23"/>
      <c r="E9" s="38" t="s">
        <v>100</v>
      </c>
      <c r="F9" s="41"/>
      <c r="G9" s="40">
        <v>22752</v>
      </c>
    </row>
    <row r="10" spans="2:7" x14ac:dyDescent="0.3">
      <c r="B10" s="25" t="s">
        <v>369</v>
      </c>
      <c r="C10" s="23"/>
      <c r="D10" s="30">
        <v>254156.38</v>
      </c>
      <c r="E10" s="38" t="s">
        <v>32</v>
      </c>
      <c r="F10" s="41"/>
      <c r="G10" s="40">
        <v>2425</v>
      </c>
    </row>
    <row r="11" spans="2:7" x14ac:dyDescent="0.3">
      <c r="B11" s="25"/>
      <c r="C11" s="23"/>
      <c r="E11" s="38" t="s">
        <v>34</v>
      </c>
      <c r="F11" s="41"/>
      <c r="G11" s="40">
        <v>112</v>
      </c>
    </row>
    <row r="12" spans="2:7" x14ac:dyDescent="0.3">
      <c r="B12" s="25"/>
      <c r="C12" s="23"/>
      <c r="E12" s="38" t="s">
        <v>47</v>
      </c>
      <c r="F12" s="41"/>
      <c r="G12" s="40">
        <v>41</v>
      </c>
    </row>
    <row r="13" spans="2:7" x14ac:dyDescent="0.3">
      <c r="B13" s="25"/>
      <c r="C13" s="23"/>
      <c r="E13" s="38" t="s">
        <v>58</v>
      </c>
      <c r="F13" s="41"/>
      <c r="G13" s="40">
        <v>11190</v>
      </c>
    </row>
    <row r="14" spans="2:7" x14ac:dyDescent="0.3">
      <c r="B14" s="25"/>
      <c r="C14" s="23"/>
      <c r="E14" s="38" t="s">
        <v>69</v>
      </c>
      <c r="F14" s="41"/>
      <c r="G14" s="40">
        <v>105000</v>
      </c>
    </row>
    <row r="15" spans="2:7" x14ac:dyDescent="0.3">
      <c r="B15" s="25"/>
      <c r="C15" s="23"/>
      <c r="E15" s="38" t="s">
        <v>93</v>
      </c>
      <c r="F15" s="41"/>
      <c r="G15" s="40">
        <v>250</v>
      </c>
    </row>
    <row r="16" spans="2:7" x14ac:dyDescent="0.3">
      <c r="B16" s="25"/>
      <c r="C16" s="23"/>
      <c r="E16" s="38" t="s">
        <v>60</v>
      </c>
      <c r="F16" s="41"/>
      <c r="G16" s="40">
        <v>175165</v>
      </c>
    </row>
    <row r="17" spans="2:7" x14ac:dyDescent="0.3">
      <c r="B17" s="25"/>
      <c r="C17" s="23"/>
      <c r="E17" s="38" t="s">
        <v>126</v>
      </c>
      <c r="F17" s="41"/>
      <c r="G17" s="40">
        <v>13105</v>
      </c>
    </row>
    <row r="18" spans="2:7" x14ac:dyDescent="0.3">
      <c r="B18" s="25"/>
      <c r="C18" s="23"/>
      <c r="E18" s="38" t="s">
        <v>20</v>
      </c>
      <c r="F18" s="41"/>
      <c r="G18" s="40">
        <v>1568</v>
      </c>
    </row>
    <row r="19" spans="2:7" x14ac:dyDescent="0.3">
      <c r="B19" s="25"/>
      <c r="C19" s="23"/>
      <c r="E19" s="38" t="s">
        <v>23</v>
      </c>
      <c r="F19" s="41"/>
      <c r="G19" s="40">
        <v>4681</v>
      </c>
    </row>
    <row r="20" spans="2:7" x14ac:dyDescent="0.3">
      <c r="B20" s="25"/>
      <c r="C20" s="23"/>
      <c r="E20" s="38" t="s">
        <v>13</v>
      </c>
      <c r="F20" s="41"/>
      <c r="G20" s="40">
        <v>15019</v>
      </c>
    </row>
    <row r="21" spans="2:7" x14ac:dyDescent="0.3">
      <c r="B21" s="25"/>
      <c r="C21" s="23"/>
      <c r="E21" s="39"/>
      <c r="F21" s="23"/>
      <c r="G21" s="30"/>
    </row>
    <row r="22" spans="2:7" x14ac:dyDescent="0.3">
      <c r="B22" s="25"/>
      <c r="C22" s="23"/>
      <c r="E22" s="39" t="s">
        <v>370</v>
      </c>
      <c r="F22" s="23"/>
      <c r="G22" s="30"/>
    </row>
    <row r="23" spans="2:7" x14ac:dyDescent="0.3">
      <c r="B23" s="25"/>
      <c r="C23" s="23"/>
      <c r="E23" s="39" t="s">
        <v>366</v>
      </c>
      <c r="F23" s="23">
        <v>58185</v>
      </c>
      <c r="G23" s="30"/>
    </row>
    <row r="24" spans="2:7" x14ac:dyDescent="0.3">
      <c r="B24" s="25"/>
      <c r="C24" s="23"/>
      <c r="E24" s="39" t="s">
        <v>367</v>
      </c>
      <c r="F24" s="23">
        <v>29450</v>
      </c>
      <c r="G24" s="30"/>
    </row>
    <row r="25" spans="2:7" x14ac:dyDescent="0.3">
      <c r="B25" s="25"/>
      <c r="C25" s="23"/>
      <c r="E25" s="39" t="s">
        <v>368</v>
      </c>
      <c r="F25" s="23">
        <v>60000</v>
      </c>
      <c r="G25" s="30">
        <v>147635</v>
      </c>
    </row>
    <row r="26" spans="2:7" x14ac:dyDescent="0.3">
      <c r="B26" s="42"/>
      <c r="C26" s="42"/>
      <c r="D26" s="42">
        <f>SUM(D8,D10)</f>
        <v>452540.58</v>
      </c>
      <c r="E26" s="42"/>
      <c r="F26" s="42"/>
      <c r="G26" s="42">
        <f>SUM(G5:G25)</f>
        <v>515316.55</v>
      </c>
    </row>
  </sheetData>
  <mergeCells count="3">
    <mergeCell ref="C1:E1"/>
    <mergeCell ref="C2:E2"/>
    <mergeCell ref="C3:E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>
    <tabColor rgb="FF92D050"/>
  </sheetPr>
  <dimension ref="B1:I27"/>
  <sheetViews>
    <sheetView tabSelected="1" workbookViewId="0">
      <selection activeCell="G20" sqref="G20:H20"/>
    </sheetView>
  </sheetViews>
  <sheetFormatPr defaultRowHeight="14.4" x14ac:dyDescent="0.3"/>
  <cols>
    <col min="2" max="2" width="30.109375" bestFit="1" customWidth="1"/>
    <col min="3" max="3" width="10.6640625" bestFit="1" customWidth="1"/>
    <col min="4" max="4" width="16" bestFit="1" customWidth="1"/>
    <col min="5" max="5" width="30.109375" bestFit="1" customWidth="1"/>
    <col min="7" max="7" width="19.21875" bestFit="1" customWidth="1"/>
  </cols>
  <sheetData>
    <row r="1" spans="2:9" ht="15.6" thickTop="1" thickBot="1" x14ac:dyDescent="0.35">
      <c r="C1" s="43" t="s">
        <v>359</v>
      </c>
      <c r="D1" s="43"/>
      <c r="E1" s="43"/>
    </row>
    <row r="2" spans="2:9" ht="15.6" thickTop="1" thickBot="1" x14ac:dyDescent="0.35">
      <c r="C2" s="43" t="s">
        <v>360</v>
      </c>
      <c r="D2" s="43"/>
      <c r="E2" s="43"/>
    </row>
    <row r="3" spans="2:9" ht="15.6" thickTop="1" thickBot="1" x14ac:dyDescent="0.35">
      <c r="C3" s="43" t="s">
        <v>371</v>
      </c>
      <c r="D3" s="43"/>
      <c r="E3" s="43"/>
    </row>
    <row r="4" spans="2:9" ht="15" thickTop="1" x14ac:dyDescent="0.3">
      <c r="B4" s="35" t="s">
        <v>361</v>
      </c>
      <c r="C4" s="35" t="s">
        <v>362</v>
      </c>
      <c r="D4" s="35" t="s">
        <v>363</v>
      </c>
      <c r="E4" s="35" t="s">
        <v>362</v>
      </c>
      <c r="G4" s="22" t="s">
        <v>375</v>
      </c>
      <c r="H4" s="22"/>
      <c r="I4" s="22"/>
    </row>
    <row r="5" spans="2:9" x14ac:dyDescent="0.3">
      <c r="B5" s="36" t="s">
        <v>86</v>
      </c>
      <c r="C5" s="40">
        <v>2360</v>
      </c>
      <c r="D5" s="39" t="s">
        <v>372</v>
      </c>
      <c r="E5" s="30">
        <v>254156.38</v>
      </c>
      <c r="G5" s="35" t="s">
        <v>376</v>
      </c>
      <c r="H5" s="35"/>
      <c r="I5" s="30">
        <v>41550</v>
      </c>
    </row>
    <row r="6" spans="2:9" x14ac:dyDescent="0.3">
      <c r="B6" s="36" t="s">
        <v>11</v>
      </c>
      <c r="C6" s="40">
        <v>380.54999999999995</v>
      </c>
      <c r="D6" s="39"/>
      <c r="E6" s="30"/>
      <c r="G6" s="35" t="s">
        <v>377</v>
      </c>
      <c r="H6" s="35"/>
      <c r="I6" s="30">
        <v>175165</v>
      </c>
    </row>
    <row r="7" spans="2:9" ht="15" thickBot="1" x14ac:dyDescent="0.35">
      <c r="B7" s="36" t="s">
        <v>129</v>
      </c>
      <c r="C7" s="40">
        <v>6822</v>
      </c>
      <c r="D7" s="39"/>
      <c r="E7" s="30"/>
      <c r="G7" s="35" t="s">
        <v>378</v>
      </c>
      <c r="H7" s="35"/>
      <c r="I7" s="30">
        <v>13050</v>
      </c>
    </row>
    <row r="8" spans="2:9" ht="15.6" thickTop="1" thickBot="1" x14ac:dyDescent="0.35">
      <c r="B8" s="36" t="s">
        <v>15</v>
      </c>
      <c r="C8" s="40">
        <v>6811</v>
      </c>
      <c r="D8" s="39"/>
      <c r="E8" s="30"/>
      <c r="G8" s="33" t="s">
        <v>379</v>
      </c>
      <c r="H8" s="33"/>
      <c r="I8" s="29">
        <f>I6+I7-I5</f>
        <v>146665</v>
      </c>
    </row>
    <row r="9" spans="2:9" ht="15" thickTop="1" x14ac:dyDescent="0.3">
      <c r="B9" s="36" t="s">
        <v>100</v>
      </c>
      <c r="C9" s="40">
        <v>22752</v>
      </c>
      <c r="D9" s="39"/>
      <c r="E9" s="30"/>
    </row>
    <row r="10" spans="2:9" x14ac:dyDescent="0.3">
      <c r="B10" s="36" t="s">
        <v>32</v>
      </c>
      <c r="C10" s="40">
        <v>2425</v>
      </c>
      <c r="D10" s="39"/>
      <c r="E10" s="30"/>
      <c r="G10" s="22" t="s">
        <v>69</v>
      </c>
      <c r="H10" s="22"/>
      <c r="I10" s="22"/>
    </row>
    <row r="11" spans="2:9" x14ac:dyDescent="0.3">
      <c r="B11" s="36" t="s">
        <v>34</v>
      </c>
      <c r="C11" s="40">
        <v>112</v>
      </c>
      <c r="D11" s="39"/>
      <c r="E11" s="30"/>
      <c r="G11" s="35" t="s">
        <v>376</v>
      </c>
      <c r="H11" s="35"/>
      <c r="I11" s="30">
        <v>17500</v>
      </c>
    </row>
    <row r="12" spans="2:9" x14ac:dyDescent="0.3">
      <c r="B12" s="36" t="s">
        <v>47</v>
      </c>
      <c r="C12" s="40">
        <v>41</v>
      </c>
      <c r="D12" s="39"/>
      <c r="E12" s="30"/>
      <c r="G12" s="35" t="s">
        <v>377</v>
      </c>
      <c r="H12" s="35"/>
      <c r="I12" s="30">
        <v>105000</v>
      </c>
    </row>
    <row r="13" spans="2:9" ht="15" thickBot="1" x14ac:dyDescent="0.35">
      <c r="B13" s="36" t="s">
        <v>58</v>
      </c>
      <c r="C13" s="40">
        <v>11190</v>
      </c>
      <c r="D13" s="39"/>
      <c r="E13" s="30"/>
      <c r="G13" s="35" t="s">
        <v>378</v>
      </c>
      <c r="H13" s="35"/>
      <c r="I13" s="30">
        <v>17500</v>
      </c>
    </row>
    <row r="14" spans="2:9" ht="15.6" thickTop="1" thickBot="1" x14ac:dyDescent="0.35">
      <c r="B14" s="36" t="s">
        <v>69</v>
      </c>
      <c r="C14" s="40">
        <v>105000</v>
      </c>
      <c r="D14" s="39"/>
      <c r="E14" s="30"/>
      <c r="G14" s="33" t="s">
        <v>380</v>
      </c>
      <c r="H14" s="33"/>
      <c r="I14" s="29">
        <f>I12+I13-I11</f>
        <v>105000</v>
      </c>
    </row>
    <row r="15" spans="2:9" ht="15" thickTop="1" x14ac:dyDescent="0.3">
      <c r="B15" s="36" t="s">
        <v>93</v>
      </c>
      <c r="C15" s="40">
        <v>250</v>
      </c>
      <c r="D15" s="39"/>
      <c r="E15" s="30"/>
    </row>
    <row r="16" spans="2:9" x14ac:dyDescent="0.3">
      <c r="B16" s="36" t="s">
        <v>60</v>
      </c>
      <c r="C16" s="40">
        <v>146665</v>
      </c>
      <c r="D16" s="39"/>
      <c r="E16" s="30"/>
      <c r="G16" s="22" t="s">
        <v>13</v>
      </c>
      <c r="H16" s="22"/>
      <c r="I16" s="22"/>
    </row>
    <row r="17" spans="2:9" x14ac:dyDescent="0.3">
      <c r="B17" s="36" t="s">
        <v>126</v>
      </c>
      <c r="C17" s="40">
        <v>13105</v>
      </c>
      <c r="D17" s="39"/>
      <c r="E17" s="30"/>
      <c r="G17" s="35" t="s">
        <v>376</v>
      </c>
      <c r="H17" s="35"/>
      <c r="I17" s="30">
        <v>4554</v>
      </c>
    </row>
    <row r="18" spans="2:9" x14ac:dyDescent="0.3">
      <c r="B18" s="36" t="s">
        <v>20</v>
      </c>
      <c r="C18" s="40">
        <v>1568</v>
      </c>
      <c r="D18" s="39"/>
      <c r="E18" s="30"/>
      <c r="G18" s="35" t="s">
        <v>377</v>
      </c>
      <c r="H18" s="35"/>
      <c r="I18" s="30">
        <v>15019</v>
      </c>
    </row>
    <row r="19" spans="2:9" ht="15" thickBot="1" x14ac:dyDescent="0.35">
      <c r="B19" s="36" t="s">
        <v>23</v>
      </c>
      <c r="C19" s="40">
        <v>4681</v>
      </c>
      <c r="D19" s="39"/>
      <c r="E19" s="30"/>
      <c r="G19" s="35" t="s">
        <v>378</v>
      </c>
      <c r="H19" s="35"/>
      <c r="I19" s="30">
        <v>1815</v>
      </c>
    </row>
    <row r="20" spans="2:9" ht="15.6" thickTop="1" thickBot="1" x14ac:dyDescent="0.35">
      <c r="B20" s="36" t="s">
        <v>13</v>
      </c>
      <c r="C20" s="40">
        <v>12280</v>
      </c>
      <c r="D20" s="39"/>
      <c r="E20" s="30"/>
      <c r="G20" s="33" t="s">
        <v>381</v>
      </c>
      <c r="H20" s="33"/>
      <c r="I20" s="29">
        <f>I18+I19-I17</f>
        <v>12280</v>
      </c>
    </row>
    <row r="21" spans="2:9" ht="15" thickTop="1" x14ac:dyDescent="0.3">
      <c r="B21" s="25" t="s">
        <v>374</v>
      </c>
      <c r="C21" s="30">
        <v>10</v>
      </c>
      <c r="D21" s="39"/>
      <c r="E21" s="30"/>
    </row>
    <row r="22" spans="2:9" x14ac:dyDescent="0.3">
      <c r="B22" s="25"/>
      <c r="C22" s="30"/>
      <c r="D22" s="39"/>
      <c r="E22" s="30"/>
    </row>
    <row r="23" spans="2:9" x14ac:dyDescent="0.3">
      <c r="B23" s="25"/>
      <c r="C23" s="30"/>
      <c r="D23" s="39"/>
      <c r="E23" s="30"/>
    </row>
    <row r="24" spans="2:9" x14ac:dyDescent="0.3">
      <c r="B24" s="25"/>
      <c r="C24" s="30"/>
      <c r="D24" s="39"/>
      <c r="E24" s="30"/>
    </row>
    <row r="25" spans="2:9" x14ac:dyDescent="0.3">
      <c r="B25" s="25"/>
      <c r="C25" s="30"/>
      <c r="D25" s="39"/>
      <c r="E25" s="30" t="s">
        <v>373</v>
      </c>
    </row>
    <row r="26" spans="2:9" x14ac:dyDescent="0.3">
      <c r="B26" s="25"/>
      <c r="C26" s="30">
        <f>SUM(C5:C25)</f>
        <v>336452.55</v>
      </c>
      <c r="D26" s="39"/>
      <c r="E26" s="30">
        <f>(C26- C27)</f>
        <v>82296.169999999984</v>
      </c>
    </row>
    <row r="27" spans="2:9" x14ac:dyDescent="0.3">
      <c r="B27" s="42"/>
      <c r="C27" s="42">
        <v>254156.38</v>
      </c>
      <c r="D27" s="42"/>
      <c r="E27" s="42">
        <f>SUM(E5:E22)</f>
        <v>254156.38</v>
      </c>
    </row>
  </sheetData>
  <mergeCells count="3">
    <mergeCell ref="C1:E1"/>
    <mergeCell ref="C2:E2"/>
    <mergeCell ref="C3:E3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FFC000"/>
  </sheetPr>
  <dimension ref="B1:G4"/>
  <sheetViews>
    <sheetView workbookViewId="0">
      <selection activeCell="F11" sqref="F11"/>
    </sheetView>
  </sheetViews>
  <sheetFormatPr defaultRowHeight="14.4" x14ac:dyDescent="0.3"/>
  <sheetData>
    <row r="1" spans="2:7" x14ac:dyDescent="0.3">
      <c r="C1" s="44" t="s">
        <v>359</v>
      </c>
      <c r="D1" s="44"/>
      <c r="E1" s="44"/>
    </row>
    <row r="2" spans="2:7" x14ac:dyDescent="0.3">
      <c r="C2" s="44" t="s">
        <v>360</v>
      </c>
      <c r="D2" s="44"/>
      <c r="E2" s="44"/>
    </row>
    <row r="3" spans="2:7" x14ac:dyDescent="0.3">
      <c r="C3" s="44" t="s">
        <v>411</v>
      </c>
      <c r="D3" s="44"/>
      <c r="E3" s="44"/>
    </row>
    <row r="4" spans="2:7" x14ac:dyDescent="0.3">
      <c r="B4" t="s">
        <v>412</v>
      </c>
      <c r="D4" t="s">
        <v>362</v>
      </c>
      <c r="E4" t="s">
        <v>413</v>
      </c>
      <c r="G4" t="s">
        <v>362</v>
      </c>
    </row>
  </sheetData>
  <mergeCells count="3">
    <mergeCell ref="C1:E1"/>
    <mergeCell ref="C2:E2"/>
    <mergeCell ref="C3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January</vt:lpstr>
      <vt:lpstr>February</vt:lpstr>
      <vt:lpstr>March</vt:lpstr>
      <vt:lpstr>Test 21</vt:lpstr>
      <vt:lpstr>Sheet1</vt:lpstr>
      <vt:lpstr>PettyCash</vt:lpstr>
      <vt:lpstr>Donation</vt:lpstr>
      <vt:lpstr>Corporation</vt:lpstr>
      <vt:lpstr>ICICI</vt:lpstr>
      <vt:lpstr>Consolidated</vt:lpstr>
      <vt:lpstr>FinalConsolidation</vt:lpstr>
      <vt:lpstr>OP&amp;CL</vt:lpstr>
      <vt:lpstr>Main</vt:lpstr>
      <vt:lpstr>R &amp; P</vt:lpstr>
      <vt:lpstr>P &amp; L</vt:lpstr>
      <vt:lpstr>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Prajwal Augustine</cp:lastModifiedBy>
  <dcterms:created xsi:type="dcterms:W3CDTF">2021-05-03T18:10:11Z</dcterms:created>
  <dcterms:modified xsi:type="dcterms:W3CDTF">2024-08-07T17:08:57Z</dcterms:modified>
</cp:coreProperties>
</file>